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eve.sharepoint.com/sites/TEAMUP4.0/Documents partages/BUT_Cours/BUT2/TiersStage/"/>
    </mc:Choice>
  </mc:AlternateContent>
  <xr:revisionPtr revIDLastSave="34" documentId="13_ncr:1_{EA8F19D1-AF97-4157-9DED-3513AD6B9065}" xr6:coauthVersionLast="47" xr6:coauthVersionMax="47" xr10:uidLastSave="{292B9A0D-AFB9-4DAE-A330-6D5EF705102B}"/>
  <bookViews>
    <workbookView xWindow="-120" yWindow="-120" windowWidth="29040" windowHeight="15840" tabRatio="314" xr2:uid="{00000000-000D-0000-FFFF-FFFF00000000}"/>
  </bookViews>
  <sheets>
    <sheet name="Feuil1" sheetId="1" r:id="rId1"/>
    <sheet name="Feuil2" sheetId="2" r:id="rId2"/>
  </sheets>
  <definedNames>
    <definedName name="_xlnm._FilterDatabase" localSheetId="0" hidden="1">Feuil1!$B$5:$G$65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4" i="1" l="1"/>
  <c r="AE64" i="1" s="1"/>
  <c r="AF64" i="1" s="1"/>
  <c r="X64" i="1"/>
  <c r="R64" i="1"/>
  <c r="AD63" i="1"/>
  <c r="AE63" i="1" s="1"/>
  <c r="AF63" i="1" s="1"/>
  <c r="X63" i="1"/>
  <c r="R63" i="1"/>
  <c r="AD62" i="1"/>
  <c r="X62" i="1"/>
  <c r="R62" i="1"/>
  <c r="AD61" i="1"/>
  <c r="AE61" i="1" s="1"/>
  <c r="AF61" i="1" s="1"/>
  <c r="X61" i="1"/>
  <c r="R61" i="1"/>
  <c r="AD60" i="1"/>
  <c r="AE60" i="1" s="1"/>
  <c r="AF60" i="1" s="1"/>
  <c r="X60" i="1"/>
  <c r="R60" i="1"/>
  <c r="AD59" i="1"/>
  <c r="AE59" i="1" s="1"/>
  <c r="AF59" i="1" s="1"/>
  <c r="X59" i="1"/>
  <c r="R59" i="1"/>
  <c r="AD58" i="1"/>
  <c r="X58" i="1"/>
  <c r="R58" i="1"/>
  <c r="AD57" i="1"/>
  <c r="AE57" i="1" s="1"/>
  <c r="AF57" i="1" s="1"/>
  <c r="X57" i="1"/>
  <c r="R57" i="1"/>
  <c r="AD56" i="1"/>
  <c r="AE56" i="1" s="1"/>
  <c r="AF56" i="1" s="1"/>
  <c r="X56" i="1"/>
  <c r="R56" i="1"/>
  <c r="AD55" i="1"/>
  <c r="AE55" i="1" s="1"/>
  <c r="AF55" i="1" s="1"/>
  <c r="X55" i="1"/>
  <c r="R55" i="1"/>
  <c r="AD54" i="1"/>
  <c r="X54" i="1"/>
  <c r="R54" i="1"/>
  <c r="AD53" i="1"/>
  <c r="AE53" i="1" s="1"/>
  <c r="AF53" i="1" s="1"/>
  <c r="X53" i="1"/>
  <c r="R53" i="1"/>
  <c r="AD52" i="1"/>
  <c r="AE52" i="1" s="1"/>
  <c r="AF52" i="1" s="1"/>
  <c r="X52" i="1"/>
  <c r="R52" i="1"/>
  <c r="AD51" i="1"/>
  <c r="AE51" i="1" s="1"/>
  <c r="AF51" i="1" s="1"/>
  <c r="X51" i="1"/>
  <c r="R51" i="1"/>
  <c r="AE62" i="1" l="1"/>
  <c r="AF62" i="1" s="1"/>
  <c r="AE58" i="1"/>
  <c r="AF58" i="1" s="1"/>
  <c r="AE54" i="1"/>
  <c r="AF54" i="1" s="1"/>
  <c r="R65" i="1"/>
  <c r="X65" i="1"/>
  <c r="AD65" i="1"/>
  <c r="AF65" i="1"/>
  <c r="X28" i="1" l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6" i="1"/>
  <c r="AD11" i="1" l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R4" i="1"/>
  <c r="R3" i="1"/>
  <c r="AE15" i="1" l="1"/>
  <c r="AF15" i="1" s="1"/>
  <c r="AE31" i="1"/>
  <c r="AF31" i="1" s="1"/>
  <c r="AE44" i="1"/>
  <c r="AF44" i="1" s="1"/>
  <c r="AE20" i="1"/>
  <c r="AF20" i="1" s="1"/>
  <c r="AE47" i="1"/>
  <c r="AF47" i="1" s="1"/>
  <c r="AE30" i="1"/>
  <c r="AF30" i="1" s="1"/>
  <c r="AE14" i="1"/>
  <c r="AF14" i="1" s="1"/>
  <c r="AE19" i="1"/>
  <c r="AF19" i="1" s="1"/>
  <c r="AE11" i="1"/>
  <c r="AF11" i="1" s="1"/>
  <c r="AE49" i="1"/>
  <c r="AF49" i="1" s="1"/>
  <c r="AE24" i="1"/>
  <c r="AF24" i="1" s="1"/>
  <c r="AE32" i="1"/>
  <c r="AF32" i="1" s="1"/>
  <c r="AE48" i="1"/>
  <c r="AF48" i="1" s="1"/>
  <c r="AE35" i="1"/>
  <c r="AF35" i="1" s="1"/>
  <c r="AE28" i="1"/>
  <c r="AF28" i="1" s="1"/>
  <c r="AE36" i="1"/>
  <c r="AF36" i="1" s="1"/>
  <c r="AE38" i="1"/>
  <c r="AF38" i="1" s="1"/>
  <c r="AE46" i="1"/>
  <c r="AF46" i="1" s="1"/>
  <c r="AE45" i="1"/>
  <c r="AF45" i="1" s="1"/>
  <c r="AE29" i="1"/>
  <c r="AF29" i="1" s="1"/>
  <c r="AE13" i="1"/>
  <c r="AF13" i="1" s="1"/>
  <c r="AE27" i="1"/>
  <c r="AF27" i="1" s="1"/>
  <c r="AE50" i="1"/>
  <c r="AF50" i="1" s="1"/>
  <c r="AE34" i="1"/>
  <c r="AF34" i="1" s="1"/>
  <c r="AE18" i="1"/>
  <c r="AF18" i="1" s="1"/>
  <c r="AE42" i="1"/>
  <c r="AF42" i="1" s="1"/>
  <c r="AE26" i="1"/>
  <c r="AF26" i="1" s="1"/>
  <c r="AE33" i="1"/>
  <c r="AF33" i="1" s="1"/>
  <c r="AE17" i="1"/>
  <c r="AF17" i="1" s="1"/>
  <c r="AE41" i="1"/>
  <c r="AF41" i="1" s="1"/>
  <c r="AE25" i="1"/>
  <c r="AF25" i="1" s="1"/>
  <c r="AE12" i="1"/>
  <c r="AF12" i="1" s="1"/>
  <c r="AE43" i="1"/>
  <c r="AF43" i="1" s="1"/>
  <c r="AE16" i="1"/>
  <c r="AF16" i="1" s="1"/>
  <c r="AE39" i="1"/>
  <c r="AF39" i="1" s="1"/>
  <c r="AE23" i="1"/>
  <c r="AF23" i="1" s="1"/>
  <c r="AE40" i="1"/>
  <c r="AF40" i="1" s="1"/>
  <c r="AE37" i="1"/>
  <c r="AF37" i="1" s="1"/>
  <c r="AE22" i="1"/>
  <c r="AF22" i="1" s="1"/>
  <c r="AE21" i="1"/>
  <c r="AF21" i="1" s="1"/>
  <c r="AD10" i="1"/>
  <c r="X10" i="1"/>
  <c r="AD9" i="1"/>
  <c r="X9" i="1"/>
  <c r="AD8" i="1"/>
  <c r="X8" i="1"/>
  <c r="X6" i="1"/>
  <c r="X7" i="1"/>
  <c r="AD6" i="1"/>
  <c r="AD7" i="1"/>
  <c r="AE9" i="1" l="1"/>
  <c r="AF9" i="1" s="1"/>
  <c r="AE8" i="1"/>
  <c r="AF8" i="1" s="1"/>
  <c r="AE10" i="1"/>
  <c r="AF10" i="1" s="1"/>
  <c r="AE6" i="1"/>
  <c r="AF6" i="1" s="1"/>
  <c r="AE7" i="1"/>
  <c r="AF7" i="1" s="1"/>
  <c r="X4" i="1"/>
  <c r="AD4" i="1"/>
  <c r="AE4" i="1" s="1"/>
  <c r="AD3" i="1"/>
  <c r="X3" i="1"/>
  <c r="AF4" i="1" l="1"/>
  <c r="AE3" i="1"/>
  <c r="AF3" i="1" s="1"/>
  <c r="AP17" i="1" l="1"/>
  <c r="AS17" i="1" s="1"/>
  <c r="AP21" i="1"/>
  <c r="AS21" i="1" s="1"/>
  <c r="AP23" i="1"/>
  <c r="AS23" i="1" s="1"/>
  <c r="AP24" i="1"/>
  <c r="AS24" i="1" s="1"/>
  <c r="AP25" i="1"/>
  <c r="AS25" i="1" s="1"/>
</calcChain>
</file>

<file path=xl/sharedStrings.xml><?xml version="1.0" encoding="utf-8"?>
<sst xmlns="http://schemas.openxmlformats.org/spreadsheetml/2006/main" count="381" uniqueCount="151">
  <si>
    <t>PLANNING</t>
  </si>
  <si>
    <t>SCHEMA DES FLUX</t>
  </si>
  <si>
    <t>FICHE DE CADRAGE</t>
  </si>
  <si>
    <t>Note 1/3 stage</t>
  </si>
  <si>
    <t>Commentaires</t>
  </si>
  <si>
    <t>visite Tuteur</t>
  </si>
  <si>
    <t>Ecrit 1</t>
  </si>
  <si>
    <t>Ecrit 2</t>
  </si>
  <si>
    <t>moyenne écrit</t>
  </si>
  <si>
    <t>Oral</t>
  </si>
  <si>
    <t>entreprise</t>
  </si>
  <si>
    <t>Note</t>
  </si>
  <si>
    <t>TP</t>
  </si>
  <si>
    <t>Société</t>
  </si>
  <si>
    <t>Maître stage</t>
  </si>
  <si>
    <t>Genre</t>
  </si>
  <si>
    <t>Titre</t>
  </si>
  <si>
    <t>Téléphone</t>
  </si>
  <si>
    <t>Adresse rue</t>
  </si>
  <si>
    <t>Adresse suite</t>
  </si>
  <si>
    <t>CP</t>
  </si>
  <si>
    <t>Ville</t>
  </si>
  <si>
    <t>Mail</t>
  </si>
  <si>
    <t>adresse pendant le stage</t>
  </si>
  <si>
    <t>QLIO BUT 2                        Evaluation 1/3 STAGE</t>
  </si>
  <si>
    <t>coef</t>
  </si>
  <si>
    <t>1ere version rendue au début de journée?</t>
  </si>
  <si>
    <t xml:space="preserve">Démarche d’amélioration retenue </t>
  </si>
  <si>
    <t xml:space="preserve">Réalisme du planning et présence des jalons pertinents </t>
  </si>
  <si>
    <t xml:space="preserve">Prise en compte des apports de la journée de 1/3 stage </t>
  </si>
  <si>
    <t>Présentation</t>
  </si>
  <si>
    <t>Note fiche de cadrage</t>
  </si>
  <si>
    <t>Pertinence du niveau de détail</t>
  </si>
  <si>
    <t>Clarté / explications</t>
  </si>
  <si>
    <t>Prise en compte des apports de la journée de 1/3 stage</t>
  </si>
  <si>
    <t>Note schéma des flux</t>
  </si>
  <si>
    <t xml:space="preserve">Définition du projet et des objectifs </t>
  </si>
  <si>
    <t xml:space="preserve">Analyse de l’existant </t>
  </si>
  <si>
    <t>Note TdB</t>
  </si>
  <si>
    <t>/60</t>
  </si>
  <si>
    <t>/20</t>
  </si>
  <si>
    <t>jury 1</t>
  </si>
  <si>
    <t>jury 2</t>
  </si>
  <si>
    <t>2024/2025</t>
  </si>
  <si>
    <t>moyenne</t>
  </si>
  <si>
    <t>Nom</t>
  </si>
  <si>
    <t xml:space="preserve">Groupe </t>
  </si>
  <si>
    <t>TD</t>
  </si>
  <si>
    <t>Evaluateur 1/3 stage</t>
  </si>
  <si>
    <t>Tuteur Pédagogique</t>
  </si>
  <si>
    <t>Entreprise d'accueil</t>
  </si>
  <si>
    <t>Sujet du stage</t>
  </si>
  <si>
    <t>participation = bonus</t>
  </si>
  <si>
    <t>1/3 stage commentaire</t>
  </si>
  <si>
    <t>oui ou non</t>
  </si>
  <si>
    <t>/5</t>
  </si>
  <si>
    <t>BORGHMANS</t>
  </si>
  <si>
    <t>QMI</t>
  </si>
  <si>
    <t>Eric COMBESCOT</t>
  </si>
  <si>
    <t>BOUDRAA</t>
  </si>
  <si>
    <t>EASWARAN</t>
  </si>
  <si>
    <t>GUMUS</t>
  </si>
  <si>
    <t>HIZOUNE</t>
  </si>
  <si>
    <t>KANDASSAMY</t>
  </si>
  <si>
    <t>LOURIGHLI</t>
  </si>
  <si>
    <t>MARQUES</t>
  </si>
  <si>
    <t>NACIRI</t>
  </si>
  <si>
    <t>NAWAZ</t>
  </si>
  <si>
    <t>SIRO</t>
  </si>
  <si>
    <t>TOLDO QUELARD</t>
  </si>
  <si>
    <t>TROUILLET</t>
  </si>
  <si>
    <t>VANG</t>
  </si>
  <si>
    <t>ABDOUL GAFFOUR</t>
  </si>
  <si>
    <t>OSC</t>
  </si>
  <si>
    <t>Denis GERELLI</t>
  </si>
  <si>
    <t>ENGIE</t>
  </si>
  <si>
    <t>Création d'une calculatrice de cotation</t>
  </si>
  <si>
    <t>OUI</t>
  </si>
  <si>
    <t>BEAUCOURT</t>
  </si>
  <si>
    <t>AIR FRANCE</t>
  </si>
  <si>
    <t>Reduire les annulations de DU</t>
  </si>
  <si>
    <t>CANESTRIER-MICHEL</t>
  </si>
  <si>
    <t>COUGNAUD</t>
  </si>
  <si>
    <t>Réorganisation de la zone de reception</t>
  </si>
  <si>
    <t>DELCROIX-HAYE</t>
  </si>
  <si>
    <t>LFB</t>
  </si>
  <si>
    <t>Réduire les stocks dormants</t>
  </si>
  <si>
    <t>DENIMAL</t>
  </si>
  <si>
    <t>ECF</t>
  </si>
  <si>
    <t>Implantation de la cage</t>
  </si>
  <si>
    <t>DESCOMBES</t>
  </si>
  <si>
    <t>SEGAULT</t>
  </si>
  <si>
    <t>Création d'un système de gestion des outillages</t>
  </si>
  <si>
    <t>GILLET</t>
  </si>
  <si>
    <t>Reorganisation du flux logistique</t>
  </si>
  <si>
    <t>KARAKEUZ</t>
  </si>
  <si>
    <t>SAFRAN</t>
  </si>
  <si>
    <t>Organisation logistique pour l'implantation de la machine CGM</t>
  </si>
  <si>
    <t>KOUASSI</t>
  </si>
  <si>
    <t>RATP</t>
  </si>
  <si>
    <t>Amélioration des mouvements de stocks</t>
  </si>
  <si>
    <t>QUEYROI</t>
  </si>
  <si>
    <t>/</t>
  </si>
  <si>
    <t>Démarrage tardif du stage, une évaluation particulière sera mise en place</t>
  </si>
  <si>
    <t>SAMBA DEHLOT</t>
  </si>
  <si>
    <t>Optimisation du stockage</t>
  </si>
  <si>
    <t>BETREMA--BOCENO</t>
  </si>
  <si>
    <t>MTD</t>
  </si>
  <si>
    <t>Frédéric MEAR</t>
  </si>
  <si>
    <t>CHANA</t>
  </si>
  <si>
    <t>FERREIRA</t>
  </si>
  <si>
    <t>KAMBLY</t>
  </si>
  <si>
    <t>Mettre 3 kpi de suivi de projet
Faire le diagramme de gant avec l’outil asana
Faire la cartographie des flux physique pour mieux comprendre l’organisation et les disfonctionnement eventuel.</t>
  </si>
  <si>
    <t>KARBOUB</t>
  </si>
  <si>
    <t>KOCAS</t>
  </si>
  <si>
    <t>LOUPE</t>
  </si>
  <si>
    <t>MOHAMAD GAFFOUR</t>
  </si>
  <si>
    <t>NGUYEN</t>
  </si>
  <si>
    <t>PALVAIR</t>
  </si>
  <si>
    <t>PHAM</t>
  </si>
  <si>
    <t>SABAUT</t>
  </si>
  <si>
    <t>SOW--DANTIN</t>
  </si>
  <si>
    <t>SZYNAL</t>
  </si>
  <si>
    <t>NON</t>
  </si>
  <si>
    <t>Eric Combescot</t>
  </si>
  <si>
    <t>Alpine</t>
  </si>
  <si>
    <t>Acier</t>
  </si>
  <si>
    <t>Formaliser et structurer les doc du service qualité</t>
  </si>
  <si>
    <t>Traçabilité treillis soudés</t>
  </si>
  <si>
    <t>Surgelé alimentaire</t>
  </si>
  <si>
    <t>Ref IFS à mettre en place</t>
  </si>
  <si>
    <t>HAN</t>
  </si>
  <si>
    <t>Fiche de poste / 5s</t>
  </si>
  <si>
    <t>Safram</t>
  </si>
  <si>
    <t>Ameliorer la traçabilité et traitement NC</t>
  </si>
  <si>
    <t>Usine productrice electricité</t>
  </si>
  <si>
    <t>Instalaltion d'un nouveau point de pompage/ reglementation avec prefecture</t>
  </si>
  <si>
    <t>Stage en guadeloupe</t>
  </si>
  <si>
    <t>Pb traçabilité trop de temps de perdu</t>
  </si>
  <si>
    <t>Forgeron essonne</t>
  </si>
  <si>
    <t>Exigence liè à la traçabilité (ex nucléaire)</t>
  </si>
  <si>
    <t>Traitement des corps etrangés "FOD"dans une partie du moteur</t>
  </si>
  <si>
    <t>SPIE</t>
  </si>
  <si>
    <t>Gestion de maintenance, archivage</t>
  </si>
  <si>
    <t>Arrivé en retrad pour le stage (pb administratif)</t>
  </si>
  <si>
    <t>Fabrication de tube de craton</t>
  </si>
  <si>
    <t>Gestion produit chimique</t>
  </si>
  <si>
    <t>Fabrication de convoyeur et suivi</t>
  </si>
  <si>
    <t>Stage au canada</t>
  </si>
  <si>
    <t>Base logisitque intermarché</t>
  </si>
  <si>
    <t>Mise en place conformité fournisseur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</si>
</sst>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3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2"/>
      <color theme="1"/>
      <name val="Times New Roman"/>
      <family val="1"/>
    </font>
    <font>
      <sz val="12"/>
      <color rgb="FF000000"/>
      <name val="Helvetica"/>
      <family val="2"/>
    </font>
    <font>
      <sz val="10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sz val="9.5"/>
      <color rgb="FF000000"/>
      <name val="Arial"/>
      <family val="2"/>
    </font>
    <font>
      <u/>
      <sz val="11"/>
      <color theme="10"/>
      <name val="Calibri"/>
      <family val="2"/>
    </font>
    <font>
      <b/>
      <sz val="9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9.5"/>
      <color rgb="FF000000"/>
      <name val="Arial"/>
      <family val="2"/>
    </font>
    <font>
      <b/>
      <sz val="8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8"/>
      <color indexed="8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2"/>
      <color theme="1"/>
      <name val="Arial Black"/>
      <family val="2"/>
    </font>
    <font>
      <sz val="12"/>
      <name val="Arial Black"/>
      <family val="2"/>
    </font>
    <font>
      <sz val="12"/>
      <color rgb="FF000000"/>
      <name val="Arial Black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8"/>
      <color theme="1"/>
      <name val="Calibri"/>
      <family val="2"/>
      <scheme val="minor"/>
    </font>
    <font>
      <b/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05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" fillId="0" borderId="0"/>
    <xf numFmtId="0" fontId="1" fillId="0" borderId="0"/>
  </cellStyleXfs>
  <cellXfs count="177">
    <xf numFmtId="0" fontId="0" fillId="0" borderId="0" xfId="0"/>
    <xf numFmtId="0" fontId="5" fillId="0" borderId="1" xfId="3" applyBorder="1"/>
    <xf numFmtId="164" fontId="5" fillId="0" borderId="1" xfId="3" applyNumberFormat="1" applyBorder="1"/>
    <xf numFmtId="164" fontId="0" fillId="0" borderId="0" xfId="0" applyNumberFormat="1"/>
    <xf numFmtId="0" fontId="6" fillId="0" borderId="1" xfId="96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0" fillId="0" borderId="1" xfId="0" applyFont="1" applyBorder="1" applyAlignment="1">
      <alignment vertical="center"/>
    </xf>
    <xf numFmtId="164" fontId="0" fillId="0" borderId="1" xfId="0" applyNumberFormat="1" applyBorder="1"/>
    <xf numFmtId="0" fontId="11" fillId="0" borderId="1" xfId="0" applyFont="1" applyBorder="1" applyAlignment="1">
      <alignment vertical="center"/>
    </xf>
    <xf numFmtId="0" fontId="5" fillId="0" borderId="2" xfId="3" applyBorder="1"/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/>
    <xf numFmtId="2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1" xfId="3" applyBorder="1" applyAlignment="1">
      <alignment wrapText="1"/>
    </xf>
    <xf numFmtId="164" fontId="5" fillId="0" borderId="1" xfId="3" applyNumberFormat="1" applyBorder="1" applyAlignment="1">
      <alignment wrapText="1"/>
    </xf>
    <xf numFmtId="0" fontId="5" fillId="0" borderId="0" xfId="3" applyAlignment="1">
      <alignment wrapText="1"/>
    </xf>
    <xf numFmtId="0" fontId="0" fillId="0" borderId="0" xfId="0" applyAlignment="1">
      <alignment horizontal="center" vertical="center" wrapText="1"/>
    </xf>
    <xf numFmtId="0" fontId="19" fillId="0" borderId="0" xfId="102" applyFont="1"/>
    <xf numFmtId="0" fontId="15" fillId="0" borderId="0" xfId="0" applyFont="1" applyAlignment="1">
      <alignment wrapText="1"/>
    </xf>
    <xf numFmtId="14" fontId="18" fillId="5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1" xfId="96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2" fontId="0" fillId="0" borderId="6" xfId="0" applyNumberFormat="1" applyBorder="1"/>
    <xf numFmtId="0" fontId="0" fillId="0" borderId="6" xfId="0" applyBorder="1"/>
    <xf numFmtId="0" fontId="0" fillId="0" borderId="10" xfId="0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20" fillId="2" borderId="22" xfId="100" applyFont="1" applyFill="1" applyBorder="1" applyAlignment="1">
      <alignment horizontal="center" vertical="center" wrapText="1"/>
    </xf>
    <xf numFmtId="0" fontId="20" fillId="2" borderId="23" xfId="10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6" fillId="0" borderId="4" xfId="3" applyFont="1" applyBorder="1" applyAlignment="1">
      <alignment horizontal="center" vertical="center"/>
    </xf>
    <xf numFmtId="0" fontId="24" fillId="0" borderId="21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2" fillId="9" borderId="4" xfId="3" applyFont="1" applyFill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24" fillId="9" borderId="4" xfId="3" applyFont="1" applyFill="1" applyBorder="1" applyAlignment="1">
      <alignment horizontal="center" vertical="center" wrapText="1"/>
    </xf>
    <xf numFmtId="0" fontId="15" fillId="0" borderId="6" xfId="0" applyFont="1" applyBorder="1"/>
    <xf numFmtId="0" fontId="14" fillId="0" borderId="0" xfId="0" applyFont="1" applyAlignment="1">
      <alignment wrapText="1"/>
    </xf>
    <xf numFmtId="0" fontId="14" fillId="0" borderId="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0" fillId="2" borderId="21" xfId="10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/>
    </xf>
    <xf numFmtId="14" fontId="18" fillId="5" borderId="7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0" fillId="8" borderId="18" xfId="0" applyFill="1" applyBorder="1" applyAlignment="1">
      <alignment horizontal="center" vertical="center" wrapText="1"/>
    </xf>
    <xf numFmtId="2" fontId="0" fillId="11" borderId="11" xfId="0" applyNumberFormat="1" applyFill="1" applyBorder="1" applyAlignment="1">
      <alignment horizontal="center" vertical="center"/>
    </xf>
    <xf numFmtId="2" fontId="0" fillId="11" borderId="10" xfId="0" applyNumberFormat="1" applyFill="1" applyBorder="1" applyAlignment="1">
      <alignment horizontal="center" vertical="center"/>
    </xf>
    <xf numFmtId="2" fontId="0" fillId="11" borderId="16" xfId="0" applyNumberFormat="1" applyFill="1" applyBorder="1" applyAlignment="1">
      <alignment horizontal="center" vertical="center"/>
    </xf>
    <xf numFmtId="2" fontId="23" fillId="11" borderId="25" xfId="0" applyNumberFormat="1" applyFont="1" applyFill="1" applyBorder="1" applyAlignment="1">
      <alignment horizontal="center" vertical="center"/>
    </xf>
    <xf numFmtId="2" fontId="0" fillId="11" borderId="25" xfId="0" applyNumberFormat="1" applyFill="1" applyBorder="1" applyAlignment="1">
      <alignment horizontal="center" vertical="center"/>
    </xf>
    <xf numFmtId="2" fontId="23" fillId="11" borderId="19" xfId="0" applyNumberFormat="1" applyFont="1" applyFill="1" applyBorder="1" applyAlignment="1">
      <alignment horizontal="center" vertical="center"/>
    </xf>
    <xf numFmtId="2" fontId="0" fillId="11" borderId="3" xfId="0" applyNumberFormat="1" applyFill="1" applyBorder="1" applyAlignment="1">
      <alignment horizontal="center" vertical="center"/>
    </xf>
    <xf numFmtId="2" fontId="0" fillId="11" borderId="24" xfId="0" applyNumberFormat="1" applyFill="1" applyBorder="1" applyAlignment="1">
      <alignment horizontal="center" vertical="center"/>
    </xf>
    <xf numFmtId="2" fontId="0" fillId="11" borderId="19" xfId="0" applyNumberFormat="1" applyFill="1" applyBorder="1" applyAlignment="1">
      <alignment horizontal="center" vertical="center"/>
    </xf>
    <xf numFmtId="2" fontId="23" fillId="11" borderId="35" xfId="0" applyNumberFormat="1" applyFont="1" applyFill="1" applyBorder="1" applyAlignment="1">
      <alignment horizontal="center" vertical="center"/>
    </xf>
    <xf numFmtId="2" fontId="0" fillId="11" borderId="36" xfId="0" applyNumberFormat="1" applyFill="1" applyBorder="1" applyAlignment="1">
      <alignment horizontal="center" vertical="center"/>
    </xf>
    <xf numFmtId="2" fontId="0" fillId="11" borderId="37" xfId="0" applyNumberFormat="1" applyFill="1" applyBorder="1" applyAlignment="1">
      <alignment horizontal="center" vertical="center"/>
    </xf>
    <xf numFmtId="2" fontId="0" fillId="11" borderId="38" xfId="0" applyNumberFormat="1" applyFill="1" applyBorder="1" applyAlignment="1">
      <alignment horizontal="center" vertical="center"/>
    </xf>
    <xf numFmtId="2" fontId="29" fillId="9" borderId="21" xfId="0" applyNumberFormat="1" applyFont="1" applyFill="1" applyBorder="1" applyAlignment="1">
      <alignment horizontal="center" vertical="center"/>
    </xf>
    <xf numFmtId="2" fontId="29" fillId="9" borderId="22" xfId="0" applyNumberFormat="1" applyFont="1" applyFill="1" applyBorder="1" applyAlignment="1">
      <alignment horizontal="right" vertical="center"/>
    </xf>
    <xf numFmtId="2" fontId="29" fillId="9" borderId="23" xfId="0" applyNumberFormat="1" applyFont="1" applyFill="1" applyBorder="1" applyAlignment="1">
      <alignment horizontal="right" vertical="center"/>
    </xf>
    <xf numFmtId="2" fontId="29" fillId="11" borderId="6" xfId="0" applyNumberFormat="1" applyFont="1" applyFill="1" applyBorder="1" applyAlignment="1">
      <alignment horizontal="right" vertical="center"/>
    </xf>
    <xf numFmtId="0" fontId="0" fillId="11" borderId="37" xfId="0" applyFill="1" applyBorder="1" applyAlignment="1">
      <alignment horizontal="center" vertical="center"/>
    </xf>
    <xf numFmtId="0" fontId="0" fillId="11" borderId="38" xfId="0" applyFill="1" applyBorder="1" applyAlignment="1">
      <alignment horizontal="center" vertical="center"/>
    </xf>
    <xf numFmtId="0" fontId="30" fillId="6" borderId="18" xfId="0" applyFont="1" applyFill="1" applyBorder="1" applyAlignment="1">
      <alignment horizontal="center" vertical="center"/>
    </xf>
    <xf numFmtId="0" fontId="30" fillId="6" borderId="19" xfId="0" applyFont="1" applyFill="1" applyBorder="1" applyAlignment="1">
      <alignment horizontal="center" vertical="center"/>
    </xf>
    <xf numFmtId="0" fontId="30" fillId="6" borderId="20" xfId="0" applyFont="1" applyFill="1" applyBorder="1" applyAlignment="1">
      <alignment horizontal="center" vertical="center"/>
    </xf>
    <xf numFmtId="0" fontId="30" fillId="7" borderId="18" xfId="0" applyFont="1" applyFill="1" applyBorder="1" applyAlignment="1">
      <alignment horizontal="center" vertical="center"/>
    </xf>
    <xf numFmtId="0" fontId="30" fillId="7" borderId="19" xfId="0" applyFont="1" applyFill="1" applyBorder="1" applyAlignment="1">
      <alignment horizontal="center" vertical="center"/>
    </xf>
    <xf numFmtId="0" fontId="31" fillId="10" borderId="19" xfId="0" applyFont="1" applyFill="1" applyBorder="1" applyAlignment="1">
      <alignment horizontal="center" vertical="center" wrapText="1"/>
    </xf>
    <xf numFmtId="0" fontId="31" fillId="10" borderId="20" xfId="0" applyFont="1" applyFill="1" applyBorder="1" applyAlignment="1">
      <alignment horizontal="center" vertical="center" wrapText="1"/>
    </xf>
    <xf numFmtId="0" fontId="31" fillId="7" borderId="19" xfId="0" applyFont="1" applyFill="1" applyBorder="1" applyAlignment="1">
      <alignment horizontal="center"/>
    </xf>
    <xf numFmtId="0" fontId="32" fillId="7" borderId="19" xfId="0" applyFont="1" applyFill="1" applyBorder="1" applyAlignment="1">
      <alignment horizontal="center"/>
    </xf>
    <xf numFmtId="0" fontId="32" fillId="7" borderId="20" xfId="0" applyFont="1" applyFill="1" applyBorder="1" applyAlignment="1">
      <alignment horizontal="center"/>
    </xf>
    <xf numFmtId="0" fontId="33" fillId="10" borderId="28" xfId="103" applyFont="1" applyFill="1" applyBorder="1" applyAlignment="1">
      <alignment horizontal="center"/>
    </xf>
    <xf numFmtId="0" fontId="33" fillId="10" borderId="30" xfId="103" applyFont="1" applyFill="1" applyBorder="1" applyAlignment="1">
      <alignment horizontal="center"/>
    </xf>
    <xf numFmtId="0" fontId="33" fillId="10" borderId="19" xfId="103" applyFont="1" applyFill="1" applyBorder="1" applyAlignment="1">
      <alignment horizontal="center"/>
    </xf>
    <xf numFmtId="2" fontId="34" fillId="0" borderId="11" xfId="0" applyNumberFormat="1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2" fontId="35" fillId="9" borderId="19" xfId="0" applyNumberFormat="1" applyFont="1" applyFill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2" fontId="34" fillId="0" borderId="19" xfId="0" applyNumberFormat="1" applyFont="1" applyBorder="1" applyAlignment="1">
      <alignment horizontal="center" vertical="center"/>
    </xf>
    <xf numFmtId="2" fontId="34" fillId="3" borderId="19" xfId="0" applyNumberFormat="1" applyFont="1" applyFill="1" applyBorder="1" applyAlignment="1">
      <alignment horizontal="center" vertical="center"/>
    </xf>
    <xf numFmtId="2" fontId="34" fillId="0" borderId="7" xfId="0" applyNumberFormat="1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2" fontId="34" fillId="0" borderId="7" xfId="0" applyNumberFormat="1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2" fontId="35" fillId="11" borderId="19" xfId="0" applyNumberFormat="1" applyFont="1" applyFill="1" applyBorder="1" applyAlignment="1">
      <alignment horizontal="center" vertical="center"/>
    </xf>
    <xf numFmtId="1" fontId="34" fillId="0" borderId="10" xfId="0" applyNumberFormat="1" applyFont="1" applyBorder="1" applyAlignment="1">
      <alignment horizontal="center" vertical="center"/>
    </xf>
    <xf numFmtId="1" fontId="34" fillId="0" borderId="16" xfId="0" applyNumberFormat="1" applyFont="1" applyBorder="1" applyAlignment="1">
      <alignment horizontal="center" vertical="center"/>
    </xf>
    <xf numFmtId="1" fontId="34" fillId="0" borderId="1" xfId="0" quotePrefix="1" applyNumberFormat="1" applyFont="1" applyBorder="1" applyAlignment="1">
      <alignment horizontal="center" vertical="center"/>
    </xf>
    <xf numFmtId="1" fontId="34" fillId="0" borderId="5" xfId="0" quotePrefix="1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1" fontId="34" fillId="0" borderId="5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 wrapText="1"/>
    </xf>
    <xf numFmtId="1" fontId="34" fillId="0" borderId="5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8" fillId="5" borderId="7" xfId="0" applyFont="1" applyFill="1" applyBorder="1" applyAlignment="1">
      <alignment horizontal="center" vertical="center" wrapText="1"/>
    </xf>
    <xf numFmtId="14" fontId="38" fillId="5" borderId="7" xfId="0" applyNumberFormat="1" applyFont="1" applyFill="1" applyBorder="1" applyAlignment="1">
      <alignment horizontal="center" vertical="center" wrapText="1"/>
    </xf>
    <xf numFmtId="0" fontId="5" fillId="0" borderId="6" xfId="3" applyBorder="1"/>
    <xf numFmtId="0" fontId="5" fillId="0" borderId="1" xfId="3" applyBorder="1" applyAlignment="1">
      <alignment horizontal="center" vertical="center"/>
    </xf>
    <xf numFmtId="0" fontId="5" fillId="0" borderId="4" xfId="3" applyBorder="1" applyAlignment="1">
      <alignment horizontal="right" wrapText="1"/>
    </xf>
    <xf numFmtId="0" fontId="5" fillId="3" borderId="4" xfId="3" applyFill="1" applyBorder="1" applyAlignment="1">
      <alignment horizontal="right" wrapText="1"/>
    </xf>
    <xf numFmtId="0" fontId="5" fillId="0" borderId="6" xfId="3" applyBorder="1" applyAlignment="1">
      <alignment wrapText="1"/>
    </xf>
    <xf numFmtId="0" fontId="5" fillId="0" borderId="1" xfId="3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30" fillId="6" borderId="40" xfId="0" applyFont="1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 wrapText="1"/>
    </xf>
    <xf numFmtId="14" fontId="18" fillId="5" borderId="36" xfId="0" applyNumberFormat="1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2" fontId="34" fillId="0" borderId="36" xfId="0" applyNumberFormat="1" applyFont="1" applyBorder="1" applyAlignment="1">
      <alignment horizontal="center" vertical="center" wrapText="1"/>
    </xf>
    <xf numFmtId="1" fontId="34" fillId="0" borderId="37" xfId="0" applyNumberFormat="1" applyFont="1" applyBorder="1" applyAlignment="1">
      <alignment horizontal="center" vertical="center" wrapText="1"/>
    </xf>
    <xf numFmtId="1" fontId="34" fillId="0" borderId="38" xfId="0" applyNumberFormat="1" applyFont="1" applyBorder="1" applyAlignment="1">
      <alignment horizontal="center" vertical="center" wrapText="1"/>
    </xf>
    <xf numFmtId="2" fontId="35" fillId="9" borderId="30" xfId="0" applyNumberFormat="1" applyFont="1" applyFill="1" applyBorder="1" applyAlignment="1">
      <alignment horizontal="center" vertical="center"/>
    </xf>
    <xf numFmtId="0" fontId="36" fillId="0" borderId="36" xfId="0" applyFont="1" applyBorder="1" applyAlignment="1">
      <alignment horizontal="center" vertical="center" wrapText="1"/>
    </xf>
    <xf numFmtId="0" fontId="36" fillId="0" borderId="37" xfId="0" applyFont="1" applyBorder="1" applyAlignment="1">
      <alignment horizontal="center" vertical="center" wrapText="1"/>
    </xf>
    <xf numFmtId="0" fontId="36" fillId="0" borderId="38" xfId="0" applyFont="1" applyBorder="1" applyAlignment="1">
      <alignment horizontal="center" vertical="center" wrapText="1"/>
    </xf>
    <xf numFmtId="2" fontId="34" fillId="0" borderId="30" xfId="0" applyNumberFormat="1" applyFont="1" applyBorder="1" applyAlignment="1">
      <alignment horizontal="center" vertical="center"/>
    </xf>
    <xf numFmtId="2" fontId="34" fillId="3" borderId="30" xfId="0" applyNumberFormat="1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3" borderId="13" xfId="0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center" vertical="center"/>
    </xf>
    <xf numFmtId="0" fontId="21" fillId="4" borderId="13" xfId="0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</cellXfs>
  <cellStyles count="105">
    <cellStyle name="Lien hypertexte" xfId="46" builtinId="8" hidden="1"/>
    <cellStyle name="Lien hypertexte" xfId="30" builtinId="8" hidden="1"/>
    <cellStyle name="Lien hypertexte" xfId="10" builtinId="8" hidden="1"/>
    <cellStyle name="Lien hypertexte" xfId="16" builtinId="8" hidden="1"/>
    <cellStyle name="Lien hypertexte" xfId="20" builtinId="8" hidden="1"/>
    <cellStyle name="Lien hypertexte" xfId="6" builtinId="8" hidden="1"/>
    <cellStyle name="Lien hypertexte" xfId="4" builtinId="8" hidden="1"/>
    <cellStyle name="Lien hypertexte" xfId="1" builtinId="8" hidden="1"/>
    <cellStyle name="Lien hypertexte" xfId="8" builtinId="8" hidden="1"/>
    <cellStyle name="Lien hypertexte" xfId="14" builtinId="8" hidden="1"/>
    <cellStyle name="Lien hypertexte" xfId="18" builtinId="8" hidden="1"/>
    <cellStyle name="Lien hypertexte" xfId="12" builtinId="8" hidden="1"/>
    <cellStyle name="Lien hypertexte" xfId="22" builtinId="8" hidden="1"/>
    <cellStyle name="Lien hypertexte" xfId="38" builtinId="8" hidden="1"/>
    <cellStyle name="Lien hypertexte" xfId="54" builtinId="8" hidden="1"/>
    <cellStyle name="Lien hypertexte" xfId="78" builtinId="8" hidden="1"/>
    <cellStyle name="Lien hypertexte" xfId="74" builtinId="8" hidden="1"/>
    <cellStyle name="Lien hypertexte" xfId="70" builtinId="8" hidden="1"/>
    <cellStyle name="Lien hypertexte" xfId="24" builtinId="8" hidden="1"/>
    <cellStyle name="Lien hypertexte" xfId="26" builtinId="8" hidden="1"/>
    <cellStyle name="Lien hypertexte" xfId="28" builtinId="8" hidden="1"/>
    <cellStyle name="Lien hypertexte" xfId="34" builtinId="8" hidden="1"/>
    <cellStyle name="Lien hypertexte" xfId="36" builtinId="8" hidden="1"/>
    <cellStyle name="Lien hypertexte" xfId="40" builtinId="8" hidden="1"/>
    <cellStyle name="Lien hypertexte" xfId="44" builtinId="8" hidden="1"/>
    <cellStyle name="Lien hypertexte" xfId="48" builtinId="8" hidden="1"/>
    <cellStyle name="Lien hypertexte" xfId="50" builtinId="8" hidden="1"/>
    <cellStyle name="Lien hypertexte" xfId="56" builtinId="8" hidden="1"/>
    <cellStyle name="Lien hypertexte" xfId="58" builtinId="8" hidden="1"/>
    <cellStyle name="Lien hypertexte" xfId="60" builtinId="8" hidden="1"/>
    <cellStyle name="Lien hypertexte" xfId="62" builtinId="8" hidden="1"/>
    <cellStyle name="Lien hypertexte" xfId="64" builtinId="8" hidden="1"/>
    <cellStyle name="Lien hypertexte" xfId="52" builtinId="8" hidden="1"/>
    <cellStyle name="Lien hypertexte" xfId="42" builtinId="8" hidden="1"/>
    <cellStyle name="Lien hypertexte" xfId="32" builtinId="8" hidden="1"/>
    <cellStyle name="Lien hypertexte" xfId="66" builtinId="8" hidden="1"/>
    <cellStyle name="Lien hypertexte" xfId="82" builtinId="8" hidden="1"/>
    <cellStyle name="Lien hypertexte" xfId="84" builtinId="8" hidden="1"/>
    <cellStyle name="Lien hypertexte" xfId="88" builtinId="8" hidden="1"/>
    <cellStyle name="Lien hypertexte" xfId="94" builtinId="8" hidden="1"/>
    <cellStyle name="Lien hypertexte" xfId="90" builtinId="8" hidden="1"/>
    <cellStyle name="Lien hypertexte" xfId="86" builtinId="8" hidden="1"/>
    <cellStyle name="Lien hypertexte" xfId="92" builtinId="8" hidden="1"/>
    <cellStyle name="Lien hypertexte" xfId="76" builtinId="8" hidden="1"/>
    <cellStyle name="Lien hypertexte" xfId="80" builtinId="8" hidden="1"/>
    <cellStyle name="Lien hypertexte" xfId="72" builtinId="8" hidden="1"/>
    <cellStyle name="Lien hypertexte" xfId="68" builtinId="8" hidden="1"/>
    <cellStyle name="Lien hypertexte" xfId="96" builtinId="8"/>
    <cellStyle name="Lien hypertexte 2" xfId="98" xr:uid="{00000000-0005-0000-0000-000030000000}"/>
    <cellStyle name="Lien hypertexte 3" xfId="101" xr:uid="{00000000-0005-0000-0000-000031000000}"/>
    <cellStyle name="Lien hypertexte visité" xfId="41" builtinId="9" hidden="1"/>
    <cellStyle name="Lien hypertexte visité" xfId="47" builtinId="9" hidden="1"/>
    <cellStyle name="Lien hypertexte visité" xfId="49" builtinId="9" hidden="1"/>
    <cellStyle name="Lien hypertexte visité" xfId="51" builtinId="9" hidden="1"/>
    <cellStyle name="Lien hypertexte visité" xfId="55" builtinId="9" hidden="1"/>
    <cellStyle name="Lien hypertexte visité" xfId="43" builtinId="9" hidden="1"/>
    <cellStyle name="Lien hypertexte visité" xfId="27" builtinId="9" hidden="1"/>
    <cellStyle name="Lien hypertexte visité" xfId="15" builtinId="9" hidden="1"/>
    <cellStyle name="Lien hypertexte visité" xfId="17" builtinId="9" hidden="1"/>
    <cellStyle name="Lien hypertexte visité" xfId="19" builtinId="9" hidden="1"/>
    <cellStyle name="Lien hypertexte visité" xfId="23" builtinId="9" hidden="1"/>
    <cellStyle name="Lien hypertexte visité" xfId="7" builtinId="9" hidden="1"/>
    <cellStyle name="Lien hypertexte visité" xfId="9" builtinId="9" hidden="1"/>
    <cellStyle name="Lien hypertexte visité" xfId="5" builtinId="9" hidden="1"/>
    <cellStyle name="Lien hypertexte visité" xfId="2" builtinId="9" hidden="1"/>
    <cellStyle name="Lien hypertexte visité" xfId="11" builtinId="9" hidden="1"/>
    <cellStyle name="Lien hypertexte visité" xfId="21" builtinId="9" hidden="1"/>
    <cellStyle name="Lien hypertexte visité" xfId="13" builtinId="9" hidden="1"/>
    <cellStyle name="Lien hypertexte visité" xfId="53" builtinId="9" hidden="1"/>
    <cellStyle name="Lien hypertexte visité" xfId="45" builtinId="9" hidden="1"/>
    <cellStyle name="Lien hypertexte visité" xfId="87" builtinId="9" hidden="1"/>
    <cellStyle name="Lien hypertexte visité" xfId="93" builtinId="9" hidden="1"/>
    <cellStyle name="Lien hypertexte visité" xfId="95" builtinId="9" hidden="1"/>
    <cellStyle name="Lien hypertexte visité" xfId="91" builtinId="9" hidden="1"/>
    <cellStyle name="Lien hypertexte visité" xfId="83" builtinId="9" hidden="1"/>
    <cellStyle name="Lien hypertexte visité" xfId="75" builtinId="9" hidden="1"/>
    <cellStyle name="Lien hypertexte visité" xfId="67" builtinId="9" hidden="1"/>
    <cellStyle name="Lien hypertexte visité" xfId="59" builtinId="9" hidden="1"/>
    <cellStyle name="Lien hypertexte visité" xfId="29" builtinId="9" hidden="1"/>
    <cellStyle name="Lien hypertexte visité" xfId="31" builtinId="9" hidden="1"/>
    <cellStyle name="Lien hypertexte visité" xfId="33" builtinId="9" hidden="1"/>
    <cellStyle name="Lien hypertexte visité" xfId="35" builtinId="9" hidden="1"/>
    <cellStyle name="Lien hypertexte visité" xfId="37" builtinId="9" hidden="1"/>
    <cellStyle name="Lien hypertexte visité" xfId="39" builtinId="9" hidden="1"/>
    <cellStyle name="Lien hypertexte visité" xfId="25" builtinId="9" hidden="1"/>
    <cellStyle name="Lien hypertexte visité" xfId="89" builtinId="9" hidden="1"/>
    <cellStyle name="Lien hypertexte visité" xfId="71" builtinId="9" hidden="1"/>
    <cellStyle name="Lien hypertexte visité" xfId="73" builtinId="9" hidden="1"/>
    <cellStyle name="Lien hypertexte visité" xfId="77" builtinId="9" hidden="1"/>
    <cellStyle name="Lien hypertexte visité" xfId="79" builtinId="9" hidden="1"/>
    <cellStyle name="Lien hypertexte visité" xfId="81" builtinId="9" hidden="1"/>
    <cellStyle name="Lien hypertexte visité" xfId="85" builtinId="9" hidden="1"/>
    <cellStyle name="Lien hypertexte visité" xfId="63" builtinId="9" hidden="1"/>
    <cellStyle name="Lien hypertexte visité" xfId="65" builtinId="9" hidden="1"/>
    <cellStyle name="Lien hypertexte visité" xfId="69" builtinId="9" hidden="1"/>
    <cellStyle name="Lien hypertexte visité" xfId="61" builtinId="9" hidden="1"/>
    <cellStyle name="Lien hypertexte visité" xfId="57" builtinId="9" hidden="1"/>
    <cellStyle name="Normal" xfId="0" builtinId="0"/>
    <cellStyle name="Normal 2" xfId="97" xr:uid="{00000000-0005-0000-0000-000062000000}"/>
    <cellStyle name="Normal 3" xfId="99" xr:uid="{00000000-0005-0000-0000-000063000000}"/>
    <cellStyle name="Normal 4" xfId="100" xr:uid="{00000000-0005-0000-0000-000064000000}"/>
    <cellStyle name="Normal 5" xfId="102" xr:uid="{5A69F1F1-BD11-4D63-9142-46E152CD65BD}"/>
    <cellStyle name="Normal 6" xfId="103" xr:uid="{B7A87ED7-64F8-443F-8F55-7F166896AB71}"/>
    <cellStyle name="Normal 7" xfId="104" xr:uid="{25696DE4-82F2-4111-A2BE-488C62A37BD6}"/>
    <cellStyle name="Normal_Feuil1_1" xfId="3" xr:uid="{00000000-0005-0000-0000-000065000000}"/>
  </cellStyles>
  <dxfs count="0"/>
  <tableStyles count="0" defaultTableStyle="TableStyleMedium9" defaultPivotStyle="PivotStyleMedium4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hahido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G1048506"/>
  <sheetViews>
    <sheetView tabSelected="1" zoomScale="85" zoomScaleNormal="85" workbookViewId="0">
      <pane xSplit="2" ySplit="5" topLeftCell="Q52" activePane="bottomRight" state="frozenSplit"/>
      <selection pane="topRight" activeCell="E1" sqref="E1"/>
      <selection pane="bottomLeft" activeCell="A6" sqref="A6"/>
      <selection pane="bottomRight" activeCell="AG25" sqref="AG25"/>
    </sheetView>
  </sheetViews>
  <sheetFormatPr baseColWidth="10" defaultColWidth="11" defaultRowHeight="15.75" x14ac:dyDescent="0.25"/>
  <cols>
    <col min="2" max="2" width="37.75" customWidth="1"/>
    <col min="3" max="3" width="11" style="15" customWidth="1"/>
    <col min="4" max="6" width="20.75" hidden="1" customWidth="1"/>
    <col min="7" max="7" width="20.75" customWidth="1"/>
    <col min="8" max="9" width="20.75" style="15" customWidth="1"/>
    <col min="10" max="10" width="19.875" style="15" customWidth="1"/>
    <col min="11" max="11" width="18.25" style="19" customWidth="1"/>
    <col min="12" max="12" width="28.25" customWidth="1"/>
    <col min="13" max="13" width="12.875" bestFit="1" customWidth="1"/>
    <col min="14" max="18" width="12.875" customWidth="1"/>
    <col min="19" max="19" width="13" bestFit="1" customWidth="1"/>
    <col min="20" max="24" width="13" customWidth="1"/>
    <col min="25" max="25" width="11.25" customWidth="1"/>
    <col min="26" max="26" width="10.375" customWidth="1"/>
    <col min="27" max="27" width="10" customWidth="1"/>
    <col min="28" max="30" width="11.875" customWidth="1"/>
    <col min="31" max="31" width="13.75" customWidth="1"/>
    <col min="32" max="32" width="13.875" customWidth="1"/>
    <col min="33" max="33" width="68.5" customWidth="1"/>
    <col min="34" max="39" width="11.875" customWidth="1"/>
    <col min="45" max="45" width="13.625" customWidth="1"/>
    <col min="46" max="46" width="21.5" customWidth="1"/>
    <col min="47" max="47" width="16.25" customWidth="1"/>
    <col min="48" max="48" width="3.375" bestFit="1" customWidth="1"/>
    <col min="49" max="49" width="26.625" bestFit="1" customWidth="1"/>
    <col min="50" max="50" width="26" bestFit="1" customWidth="1"/>
    <col min="52" max="52" width="26.125" bestFit="1" customWidth="1"/>
    <col min="53" max="53" width="15.125" style="3" bestFit="1" customWidth="1"/>
    <col min="54" max="55" width="27" bestFit="1" customWidth="1"/>
    <col min="57" max="57" width="22.5" customWidth="1"/>
    <col min="58" max="58" width="44.75" customWidth="1"/>
  </cols>
  <sheetData>
    <row r="1" spans="2:59" ht="18" customHeight="1" thickBot="1" x14ac:dyDescent="0.3">
      <c r="M1" s="168" t="s">
        <v>0</v>
      </c>
      <c r="N1" s="169"/>
      <c r="O1" s="169"/>
      <c r="P1" s="169"/>
      <c r="Q1" s="169"/>
      <c r="R1" s="170"/>
      <c r="S1" s="171" t="s">
        <v>1</v>
      </c>
      <c r="T1" s="172"/>
      <c r="U1" s="172"/>
      <c r="V1" s="172"/>
      <c r="W1" s="172"/>
      <c r="X1" s="173"/>
      <c r="Y1" s="174" t="s">
        <v>2</v>
      </c>
      <c r="Z1" s="175"/>
      <c r="AA1" s="175"/>
      <c r="AB1" s="175"/>
      <c r="AC1" s="175"/>
      <c r="AD1" s="176"/>
      <c r="AE1" s="37" t="s">
        <v>3</v>
      </c>
      <c r="AF1" s="37" t="s">
        <v>3</v>
      </c>
      <c r="AG1" s="140" t="s">
        <v>4</v>
      </c>
      <c r="AH1" s="1"/>
      <c r="AI1" s="1"/>
      <c r="AJ1" s="1"/>
      <c r="AK1" s="1"/>
      <c r="AL1" s="1"/>
      <c r="AM1" s="1" t="s">
        <v>5</v>
      </c>
      <c r="AN1" s="141" t="s">
        <v>6</v>
      </c>
      <c r="AO1" s="141" t="s">
        <v>7</v>
      </c>
      <c r="AP1" s="141" t="s">
        <v>8</v>
      </c>
      <c r="AQ1" s="141" t="s">
        <v>9</v>
      </c>
      <c r="AR1" s="141" t="s">
        <v>10</v>
      </c>
      <c r="AS1" s="1" t="s">
        <v>11</v>
      </c>
      <c r="AT1" s="1"/>
      <c r="AU1" s="1"/>
      <c r="AV1" s="1" t="s">
        <v>12</v>
      </c>
      <c r="AW1" s="1" t="s">
        <v>13</v>
      </c>
      <c r="AX1" s="1" t="s">
        <v>14</v>
      </c>
      <c r="AY1" s="1" t="s">
        <v>15</v>
      </c>
      <c r="AZ1" s="1" t="s">
        <v>16</v>
      </c>
      <c r="BA1" s="2" t="s">
        <v>17</v>
      </c>
      <c r="BB1" s="1" t="s">
        <v>18</v>
      </c>
      <c r="BC1" s="1" t="s">
        <v>19</v>
      </c>
      <c r="BD1" s="1" t="s">
        <v>20</v>
      </c>
      <c r="BE1" s="1" t="s">
        <v>21</v>
      </c>
      <c r="BF1" s="1" t="s">
        <v>22</v>
      </c>
      <c r="BG1" s="10" t="s">
        <v>23</v>
      </c>
    </row>
    <row r="2" spans="2:59" s="15" customFormat="1" ht="57.6" customHeight="1" thickBot="1" x14ac:dyDescent="0.3">
      <c r="B2" s="125" t="s">
        <v>24</v>
      </c>
      <c r="F2" s="15" t="s">
        <v>25</v>
      </c>
      <c r="K2" s="19"/>
      <c r="M2" s="38" t="s">
        <v>26</v>
      </c>
      <c r="N2" s="39" t="s">
        <v>27</v>
      </c>
      <c r="O2" s="39" t="s">
        <v>28</v>
      </c>
      <c r="P2" s="39" t="s">
        <v>29</v>
      </c>
      <c r="Q2" s="40" t="s">
        <v>30</v>
      </c>
      <c r="R2" s="41" t="s">
        <v>31</v>
      </c>
      <c r="S2" s="38" t="s">
        <v>26</v>
      </c>
      <c r="T2" s="42" t="s">
        <v>32</v>
      </c>
      <c r="U2" s="42" t="s">
        <v>33</v>
      </c>
      <c r="V2" s="42" t="s">
        <v>34</v>
      </c>
      <c r="W2" s="43" t="s">
        <v>30</v>
      </c>
      <c r="X2" s="44" t="s">
        <v>35</v>
      </c>
      <c r="Y2" s="38" t="s">
        <v>26</v>
      </c>
      <c r="Z2" s="42" t="s">
        <v>36</v>
      </c>
      <c r="AA2" s="42" t="s">
        <v>37</v>
      </c>
      <c r="AB2" s="42" t="s">
        <v>29</v>
      </c>
      <c r="AC2" s="43" t="s">
        <v>30</v>
      </c>
      <c r="AD2" s="44" t="s">
        <v>38</v>
      </c>
      <c r="AE2" s="142" t="s">
        <v>39</v>
      </c>
      <c r="AF2" s="143" t="s">
        <v>40</v>
      </c>
      <c r="AG2" s="144"/>
      <c r="AH2" s="16"/>
      <c r="AI2" s="16"/>
      <c r="AJ2" s="16"/>
      <c r="AK2" s="16"/>
      <c r="AL2" s="16"/>
      <c r="AM2" s="16">
        <v>1</v>
      </c>
      <c r="AN2" s="145" t="s">
        <v>41</v>
      </c>
      <c r="AO2" s="145" t="s">
        <v>42</v>
      </c>
      <c r="AP2" s="145">
        <v>3</v>
      </c>
      <c r="AQ2" s="145">
        <v>3</v>
      </c>
      <c r="AR2" s="145">
        <v>3</v>
      </c>
      <c r="AS2" s="16"/>
      <c r="AT2" s="16"/>
      <c r="AU2" s="16"/>
      <c r="AV2" s="16"/>
      <c r="AW2" s="16"/>
      <c r="AX2" s="16"/>
      <c r="AY2" s="16"/>
      <c r="AZ2" s="16"/>
      <c r="BA2" s="17"/>
      <c r="BB2" s="16"/>
      <c r="BC2" s="16"/>
      <c r="BD2" s="16"/>
      <c r="BE2" s="16"/>
      <c r="BF2" s="16"/>
      <c r="BG2" s="18"/>
    </row>
    <row r="3" spans="2:59" ht="18" x14ac:dyDescent="0.25">
      <c r="B3" s="126" t="s">
        <v>43</v>
      </c>
      <c r="C3" s="46"/>
      <c r="F3" t="s">
        <v>44</v>
      </c>
      <c r="M3" s="76"/>
      <c r="N3" s="77"/>
      <c r="O3" s="77"/>
      <c r="P3" s="77"/>
      <c r="Q3" s="78"/>
      <c r="R3" s="79" t="e">
        <f>+IF(M3="oui",((N3+#REF!+O3+P3+Q3)*0.8),(((N3+#REF!+O3+P3+Q3)/2)*0.8))</f>
        <v>#REF!</v>
      </c>
      <c r="S3" s="76"/>
      <c r="T3" s="77"/>
      <c r="U3" s="77"/>
      <c r="V3" s="77"/>
      <c r="W3" s="78"/>
      <c r="X3" s="79">
        <f t="shared" ref="X3:X65" si="0">+IF(S3="oui",(T3+U3+V3+W3),(T3+U3+V3+W3)/2)</f>
        <v>0</v>
      </c>
      <c r="Y3" s="76"/>
      <c r="Z3" s="77"/>
      <c r="AA3" s="77"/>
      <c r="AB3" s="77"/>
      <c r="AC3" s="78"/>
      <c r="AD3" s="79">
        <f t="shared" ref="AD3:AD65" si="1">+IF(Y3="oui",(Z3+AA3+AB3+AC3),(Z3+AA3+AB3+AC3)/2)</f>
        <v>0</v>
      </c>
      <c r="AE3" s="80" t="e">
        <f>+AD3+X3+R3</f>
        <v>#REF!</v>
      </c>
      <c r="AF3" s="80" t="e">
        <f t="shared" ref="AF3:AF65" si="2">+AE3/3</f>
        <v>#REF!</v>
      </c>
      <c r="AG3" s="29"/>
      <c r="AH3" s="13"/>
      <c r="AI3" s="13"/>
      <c r="AJ3" s="13"/>
      <c r="AK3" s="13"/>
      <c r="AL3" s="13"/>
      <c r="AM3" s="13"/>
      <c r="AN3" s="6"/>
      <c r="AO3" s="6"/>
      <c r="AP3" s="6"/>
      <c r="AQ3" s="6"/>
      <c r="AR3" s="6"/>
      <c r="AS3" s="6"/>
      <c r="AT3" s="4"/>
      <c r="AU3" s="8"/>
      <c r="AV3" s="6"/>
      <c r="AW3" s="6"/>
      <c r="AX3" s="7"/>
      <c r="AY3" s="6"/>
      <c r="AZ3" s="6"/>
      <c r="BA3" s="8"/>
      <c r="BB3" s="9"/>
      <c r="BC3" s="7"/>
      <c r="BD3" s="6"/>
      <c r="BE3" s="6"/>
      <c r="BF3" s="4"/>
    </row>
    <row r="4" spans="2:59" ht="16.5" thickBot="1" x14ac:dyDescent="0.3">
      <c r="C4" s="21"/>
      <c r="M4" s="86"/>
      <c r="N4" s="87"/>
      <c r="O4" s="87"/>
      <c r="P4" s="87"/>
      <c r="Q4" s="88"/>
      <c r="R4" s="81" t="e">
        <f>+IF(M4="oui",((N4+#REF!+O4+P4+Q4)*0.8),(((N4+#REF!+O4+P4+Q4)/2)*0.8))</f>
        <v>#REF!</v>
      </c>
      <c r="S4" s="86"/>
      <c r="T4" s="93"/>
      <c r="U4" s="82"/>
      <c r="V4" s="82"/>
      <c r="W4" s="83"/>
      <c r="X4" s="81">
        <f t="shared" si="0"/>
        <v>0</v>
      </c>
      <c r="Y4" s="86"/>
      <c r="Z4" s="93"/>
      <c r="AA4" s="93"/>
      <c r="AB4" s="93"/>
      <c r="AC4" s="94"/>
      <c r="AD4" s="81">
        <f t="shared" si="1"/>
        <v>0</v>
      </c>
      <c r="AE4" s="84" t="e">
        <f>+AD4+X4+R4</f>
        <v>#REF!</v>
      </c>
      <c r="AF4" s="84" t="e">
        <f t="shared" si="2"/>
        <v>#REF!</v>
      </c>
      <c r="AG4" s="30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4"/>
      <c r="AU4" s="8"/>
      <c r="AV4" s="6"/>
      <c r="AW4" s="6"/>
      <c r="AX4" s="7"/>
      <c r="AY4" s="6"/>
      <c r="AZ4" s="6"/>
      <c r="BA4" s="8"/>
      <c r="BB4" s="9"/>
      <c r="BC4" s="7"/>
      <c r="BD4" s="6"/>
      <c r="BE4" s="6"/>
      <c r="BF4" s="4"/>
    </row>
    <row r="5" spans="2:59" ht="18.75" thickBot="1" x14ac:dyDescent="0.3">
      <c r="B5" s="47" t="s">
        <v>45</v>
      </c>
      <c r="C5" s="125" t="s">
        <v>46</v>
      </c>
      <c r="D5" s="50" t="s">
        <v>47</v>
      </c>
      <c r="E5" s="32" t="s">
        <v>12</v>
      </c>
      <c r="F5" s="54"/>
      <c r="G5" s="55" t="s">
        <v>48</v>
      </c>
      <c r="H5" s="57" t="s">
        <v>49</v>
      </c>
      <c r="I5" s="33" t="s">
        <v>50</v>
      </c>
      <c r="J5" s="33" t="s">
        <v>51</v>
      </c>
      <c r="K5" s="33" t="s">
        <v>52</v>
      </c>
      <c r="L5" s="34" t="s">
        <v>53</v>
      </c>
      <c r="M5" s="89" t="s">
        <v>54</v>
      </c>
      <c r="N5" s="90" t="s">
        <v>55</v>
      </c>
      <c r="O5" s="90" t="s">
        <v>55</v>
      </c>
      <c r="P5" s="90" t="s">
        <v>55</v>
      </c>
      <c r="Q5" s="91" t="s">
        <v>55</v>
      </c>
      <c r="R5" s="127"/>
      <c r="S5" s="89" t="s">
        <v>54</v>
      </c>
      <c r="T5" s="90" t="s">
        <v>55</v>
      </c>
      <c r="U5" s="90" t="s">
        <v>55</v>
      </c>
      <c r="V5" s="90" t="s">
        <v>55</v>
      </c>
      <c r="W5" s="91" t="s">
        <v>55</v>
      </c>
      <c r="X5" s="92"/>
      <c r="Y5" s="89" t="s">
        <v>54</v>
      </c>
      <c r="Z5" s="90" t="s">
        <v>55</v>
      </c>
      <c r="AA5" s="90" t="s">
        <v>55</v>
      </c>
      <c r="AB5" s="90" t="s">
        <v>55</v>
      </c>
      <c r="AC5" s="91" t="s">
        <v>55</v>
      </c>
      <c r="AD5" s="85"/>
      <c r="AE5" s="84"/>
      <c r="AF5" s="84"/>
      <c r="AG5" s="30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4"/>
      <c r="AU5" s="8"/>
      <c r="AV5" s="6"/>
      <c r="AW5" s="6"/>
      <c r="AX5" s="7"/>
      <c r="AY5" s="6"/>
      <c r="AZ5" s="6"/>
      <c r="BA5" s="8"/>
      <c r="BB5" s="9"/>
      <c r="BC5" s="7"/>
      <c r="BD5" s="6"/>
      <c r="BE5" s="6"/>
      <c r="BF5" s="4"/>
    </row>
    <row r="6" spans="2:59" ht="19.5" x14ac:dyDescent="0.25">
      <c r="B6" s="95" t="s">
        <v>56</v>
      </c>
      <c r="C6" s="62" t="s">
        <v>57</v>
      </c>
      <c r="D6" s="66"/>
      <c r="E6" s="67"/>
      <c r="F6" s="68"/>
      <c r="G6" s="69" t="s">
        <v>58</v>
      </c>
      <c r="H6" s="58"/>
      <c r="I6" s="31"/>
      <c r="J6" s="31"/>
      <c r="K6" s="31"/>
      <c r="L6" s="136"/>
      <c r="M6" s="108"/>
      <c r="N6" s="128"/>
      <c r="O6" s="128"/>
      <c r="P6" s="128"/>
      <c r="Q6" s="129"/>
      <c r="R6" s="110">
        <f>+IF(M6="oui",(N6+O6+P6+Q6),((N6+O6+P6+Q6)/2))</f>
        <v>0</v>
      </c>
      <c r="S6" s="111"/>
      <c r="T6" s="109"/>
      <c r="U6" s="109"/>
      <c r="V6" s="112"/>
      <c r="W6" s="113"/>
      <c r="X6" s="110">
        <f t="shared" si="0"/>
        <v>0</v>
      </c>
      <c r="Y6" s="111"/>
      <c r="Z6" s="109"/>
      <c r="AA6" s="109"/>
      <c r="AB6" s="112"/>
      <c r="AC6" s="113"/>
      <c r="AD6" s="110">
        <f t="shared" si="1"/>
        <v>0</v>
      </c>
      <c r="AE6" s="114">
        <f>+AD6+X6+R5+K6</f>
        <v>0</v>
      </c>
      <c r="AF6" s="115">
        <f t="shared" si="2"/>
        <v>0</v>
      </c>
      <c r="AG6" s="30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8"/>
      <c r="BB6" s="6"/>
      <c r="BC6" s="6"/>
      <c r="BD6" s="6"/>
      <c r="BE6" s="6"/>
      <c r="BF6" s="6"/>
    </row>
    <row r="7" spans="2:59" ht="19.5" x14ac:dyDescent="0.25">
      <c r="B7" s="96" t="s">
        <v>59</v>
      </c>
      <c r="C7" s="51" t="s">
        <v>57</v>
      </c>
      <c r="D7" s="35"/>
      <c r="E7" s="5"/>
      <c r="F7" s="28"/>
      <c r="G7" s="48" t="s">
        <v>58</v>
      </c>
      <c r="H7" s="59"/>
      <c r="I7" s="14"/>
      <c r="J7" s="5"/>
      <c r="K7" s="5"/>
      <c r="L7" s="61"/>
      <c r="M7" s="116"/>
      <c r="N7" s="130"/>
      <c r="O7" s="130"/>
      <c r="P7" s="130"/>
      <c r="Q7" s="131"/>
      <c r="R7" s="110">
        <f t="shared" ref="R7:R65" si="3">+IF(M7="oui",(N7+O7+P7+Q7),((N7+O7+P7+Q7)/2))</f>
        <v>0</v>
      </c>
      <c r="S7" s="117"/>
      <c r="T7" s="118"/>
      <c r="U7" s="118"/>
      <c r="V7" s="118"/>
      <c r="W7" s="119"/>
      <c r="X7" s="110">
        <f t="shared" si="0"/>
        <v>0</v>
      </c>
      <c r="Y7" s="117"/>
      <c r="Z7" s="118"/>
      <c r="AA7" s="118"/>
      <c r="AB7" s="118"/>
      <c r="AC7" s="119"/>
      <c r="AD7" s="110">
        <f t="shared" si="1"/>
        <v>0</v>
      </c>
      <c r="AE7" s="114">
        <f t="shared" ref="AE7:AE50" si="4">+AD7+X7+R7+K7</f>
        <v>0</v>
      </c>
      <c r="AF7" s="115">
        <f t="shared" si="2"/>
        <v>0</v>
      </c>
      <c r="AG7" s="45"/>
      <c r="AH7" s="12"/>
      <c r="AI7" s="12"/>
      <c r="AJ7" s="12"/>
      <c r="AK7" s="12"/>
      <c r="AL7" s="12"/>
      <c r="AM7" s="12"/>
      <c r="AN7" s="11"/>
      <c r="AO7" s="11"/>
      <c r="AP7" s="11" t="e">
        <v>#DIV/0!</v>
      </c>
      <c r="AQ7" s="6"/>
      <c r="AR7" s="6"/>
      <c r="AS7" s="6" t="e">
        <v>#VALUE!</v>
      </c>
      <c r="AT7" s="4"/>
      <c r="AU7" s="8"/>
      <c r="AV7" s="6"/>
      <c r="AW7" s="6"/>
      <c r="AX7" s="7"/>
      <c r="AY7" s="6"/>
      <c r="AZ7" s="6"/>
      <c r="BA7" s="8"/>
      <c r="BB7" s="9"/>
      <c r="BC7" s="7"/>
      <c r="BD7" s="6"/>
      <c r="BE7" s="6"/>
      <c r="BF7" s="4"/>
    </row>
    <row r="8" spans="2:59" ht="19.5" x14ac:dyDescent="0.25">
      <c r="B8" s="96" t="s">
        <v>60</v>
      </c>
      <c r="C8" s="51" t="s">
        <v>57</v>
      </c>
      <c r="D8" s="35"/>
      <c r="E8" s="5"/>
      <c r="F8" s="28"/>
      <c r="G8" s="48" t="s">
        <v>58</v>
      </c>
      <c r="H8" s="59"/>
      <c r="I8" s="14"/>
      <c r="J8" s="5"/>
      <c r="K8" s="5"/>
      <c r="L8" s="61"/>
      <c r="M8" s="116"/>
      <c r="N8" s="132"/>
      <c r="O8" s="132"/>
      <c r="P8" s="132"/>
      <c r="Q8" s="133"/>
      <c r="R8" s="110">
        <f t="shared" si="3"/>
        <v>0</v>
      </c>
      <c r="S8" s="116"/>
      <c r="T8" s="118"/>
      <c r="U8" s="118"/>
      <c r="V8" s="118"/>
      <c r="W8" s="119"/>
      <c r="X8" s="110">
        <f t="shared" si="0"/>
        <v>0</v>
      </c>
      <c r="Y8" s="116"/>
      <c r="Z8" s="118"/>
      <c r="AA8" s="118"/>
      <c r="AB8" s="118"/>
      <c r="AC8" s="119"/>
      <c r="AD8" s="110">
        <f t="shared" si="1"/>
        <v>0</v>
      </c>
      <c r="AE8" s="114">
        <f t="shared" si="4"/>
        <v>0</v>
      </c>
      <c r="AF8" s="115">
        <f t="shared" si="2"/>
        <v>0</v>
      </c>
      <c r="AG8" s="45"/>
      <c r="AH8" s="12"/>
      <c r="AI8" s="12"/>
      <c r="AJ8" s="12"/>
      <c r="AK8" s="12"/>
      <c r="AL8" s="12"/>
      <c r="AM8" s="12"/>
      <c r="AN8" s="11"/>
      <c r="AO8" s="11"/>
      <c r="AP8" s="11" t="e">
        <v>#DIV/0!</v>
      </c>
      <c r="AQ8" s="6"/>
      <c r="AR8" s="6"/>
      <c r="AS8" s="6" t="e">
        <v>#VALUE!</v>
      </c>
      <c r="AT8" s="4"/>
      <c r="AU8" s="8"/>
      <c r="AV8" s="6"/>
      <c r="AW8" s="6"/>
      <c r="AX8" s="7"/>
      <c r="AY8" s="6"/>
      <c r="AZ8" s="6"/>
      <c r="BA8" s="8"/>
      <c r="BB8" s="9"/>
      <c r="BC8" s="7"/>
      <c r="BD8" s="6"/>
      <c r="BE8" s="6"/>
      <c r="BF8" s="4"/>
    </row>
    <row r="9" spans="2:59" ht="19.5" x14ac:dyDescent="0.25">
      <c r="B9" s="96" t="s">
        <v>61</v>
      </c>
      <c r="C9" s="51" t="s">
        <v>57</v>
      </c>
      <c r="D9" s="35"/>
      <c r="E9" s="5"/>
      <c r="F9" s="28"/>
      <c r="G9" s="48" t="s">
        <v>58</v>
      </c>
      <c r="H9" s="59"/>
      <c r="I9" s="14"/>
      <c r="J9" s="5"/>
      <c r="K9" s="5"/>
      <c r="L9" s="61"/>
      <c r="M9" s="116"/>
      <c r="N9" s="132"/>
      <c r="O9" s="132"/>
      <c r="P9" s="132"/>
      <c r="Q9" s="133"/>
      <c r="R9" s="110">
        <f t="shared" si="3"/>
        <v>0</v>
      </c>
      <c r="S9" s="116"/>
      <c r="T9" s="118"/>
      <c r="U9" s="118"/>
      <c r="V9" s="118"/>
      <c r="W9" s="119"/>
      <c r="X9" s="110">
        <f t="shared" si="0"/>
        <v>0</v>
      </c>
      <c r="Y9" s="116"/>
      <c r="Z9" s="118"/>
      <c r="AA9" s="118"/>
      <c r="AB9" s="118"/>
      <c r="AC9" s="119"/>
      <c r="AD9" s="110">
        <f t="shared" si="1"/>
        <v>0</v>
      </c>
      <c r="AE9" s="114">
        <f t="shared" si="4"/>
        <v>0</v>
      </c>
      <c r="AF9" s="115">
        <f t="shared" si="2"/>
        <v>0</v>
      </c>
      <c r="AG9" s="45"/>
      <c r="AH9" s="12"/>
      <c r="AI9" s="12"/>
      <c r="AJ9" s="12"/>
      <c r="AK9" s="12"/>
      <c r="AL9" s="12"/>
      <c r="AM9" s="12"/>
      <c r="AN9" s="11"/>
      <c r="AO9" s="11"/>
      <c r="AP9" s="11" t="e">
        <v>#DIV/0!</v>
      </c>
      <c r="AQ9" s="6"/>
      <c r="AR9" s="6"/>
      <c r="AS9" s="6" t="e">
        <v>#VALUE!</v>
      </c>
      <c r="AT9" s="4"/>
      <c r="AU9" s="8"/>
      <c r="AV9" s="6"/>
      <c r="AW9" s="6"/>
      <c r="AX9" s="7"/>
      <c r="AY9" s="6"/>
      <c r="AZ9" s="6"/>
      <c r="BA9" s="8"/>
      <c r="BB9" s="9"/>
      <c r="BC9" s="7"/>
      <c r="BD9" s="6"/>
      <c r="BE9" s="6"/>
      <c r="BF9" s="4"/>
    </row>
    <row r="10" spans="2:59" ht="19.5" x14ac:dyDescent="0.25">
      <c r="B10" s="96" t="s">
        <v>62</v>
      </c>
      <c r="C10" s="51" t="s">
        <v>57</v>
      </c>
      <c r="D10" s="35"/>
      <c r="E10" s="5"/>
      <c r="F10" s="28"/>
      <c r="G10" s="48" t="s">
        <v>58</v>
      </c>
      <c r="H10" s="59"/>
      <c r="I10" s="14"/>
      <c r="J10" s="5"/>
      <c r="K10" s="5"/>
      <c r="L10" s="61"/>
      <c r="M10" s="116"/>
      <c r="N10" s="132"/>
      <c r="O10" s="132"/>
      <c r="P10" s="132"/>
      <c r="Q10" s="133"/>
      <c r="R10" s="110">
        <f t="shared" si="3"/>
        <v>0</v>
      </c>
      <c r="S10" s="116"/>
      <c r="T10" s="118"/>
      <c r="U10" s="118"/>
      <c r="V10" s="118"/>
      <c r="W10" s="119"/>
      <c r="X10" s="110">
        <f t="shared" si="0"/>
        <v>0</v>
      </c>
      <c r="Y10" s="116"/>
      <c r="Z10" s="118"/>
      <c r="AA10" s="118"/>
      <c r="AB10" s="118"/>
      <c r="AC10" s="119"/>
      <c r="AD10" s="110">
        <f t="shared" si="1"/>
        <v>0</v>
      </c>
      <c r="AE10" s="114">
        <f t="shared" si="4"/>
        <v>0</v>
      </c>
      <c r="AF10" s="115">
        <f t="shared" si="2"/>
        <v>0</v>
      </c>
      <c r="AG10" s="45"/>
      <c r="AH10" s="12"/>
      <c r="AI10" s="12"/>
      <c r="AJ10" s="12"/>
      <c r="AK10" s="12"/>
      <c r="AL10" s="12"/>
      <c r="AM10" s="12"/>
      <c r="AN10" s="11"/>
      <c r="AO10" s="11"/>
      <c r="AP10" s="11" t="e">
        <v>#DIV/0!</v>
      </c>
      <c r="AQ10" s="6"/>
      <c r="AR10" s="6"/>
      <c r="AS10" s="6" t="e">
        <v>#VALUE!</v>
      </c>
      <c r="AT10" s="4"/>
      <c r="AU10" s="8"/>
      <c r="AV10" s="6"/>
      <c r="AW10" s="6"/>
      <c r="AX10" s="7"/>
      <c r="AY10" s="6"/>
      <c r="AZ10" s="6"/>
      <c r="BA10" s="8"/>
      <c r="BB10" s="9"/>
      <c r="BC10" s="7"/>
      <c r="BD10" s="6"/>
      <c r="BE10" s="6"/>
      <c r="BF10" s="4"/>
    </row>
    <row r="11" spans="2:59" ht="19.5" x14ac:dyDescent="0.25">
      <c r="B11" s="96" t="s">
        <v>63</v>
      </c>
      <c r="C11" s="51" t="s">
        <v>57</v>
      </c>
      <c r="D11" s="35"/>
      <c r="E11" s="5"/>
      <c r="F11" s="28"/>
      <c r="G11" s="48" t="s">
        <v>58</v>
      </c>
      <c r="H11" s="59"/>
      <c r="I11" s="14"/>
      <c r="J11" s="5"/>
      <c r="K11" s="5"/>
      <c r="L11" s="61"/>
      <c r="M11" s="116"/>
      <c r="N11" s="132"/>
      <c r="O11" s="132"/>
      <c r="P11" s="132"/>
      <c r="Q11" s="133"/>
      <c r="R11" s="110">
        <f t="shared" si="3"/>
        <v>0</v>
      </c>
      <c r="S11" s="116"/>
      <c r="T11" s="118"/>
      <c r="U11" s="118"/>
      <c r="V11" s="118"/>
      <c r="W11" s="119"/>
      <c r="X11" s="110">
        <f t="shared" si="0"/>
        <v>0</v>
      </c>
      <c r="Y11" s="116"/>
      <c r="Z11" s="118"/>
      <c r="AA11" s="118"/>
      <c r="AB11" s="118"/>
      <c r="AC11" s="119"/>
      <c r="AD11" s="110">
        <f t="shared" si="1"/>
        <v>0</v>
      </c>
      <c r="AE11" s="114">
        <f t="shared" si="4"/>
        <v>0</v>
      </c>
      <c r="AF11" s="115">
        <f t="shared" si="2"/>
        <v>0</v>
      </c>
      <c r="AG11" s="45"/>
      <c r="AH11" s="12"/>
      <c r="AI11" s="12"/>
      <c r="AJ11" s="12"/>
      <c r="AK11" s="12"/>
      <c r="AL11" s="12"/>
      <c r="AM11" s="12"/>
      <c r="AN11" s="11"/>
      <c r="AO11" s="11"/>
      <c r="AP11" s="11"/>
      <c r="AQ11" s="6"/>
      <c r="AR11" s="6"/>
      <c r="AS11" s="6"/>
      <c r="AT11" s="4"/>
      <c r="AU11" s="8"/>
      <c r="AV11" s="6"/>
      <c r="AW11" s="6"/>
      <c r="AX11" s="7"/>
      <c r="AY11" s="6"/>
      <c r="AZ11" s="6"/>
      <c r="BA11" s="8"/>
      <c r="BB11" s="9"/>
      <c r="BC11" s="7"/>
      <c r="BD11" s="6"/>
      <c r="BE11" s="6"/>
      <c r="BF11" s="4"/>
    </row>
    <row r="12" spans="2:59" ht="19.5" x14ac:dyDescent="0.25">
      <c r="B12" s="96" t="s">
        <v>64</v>
      </c>
      <c r="C12" s="51" t="s">
        <v>57</v>
      </c>
      <c r="D12" s="35"/>
      <c r="E12" s="5"/>
      <c r="F12" s="28"/>
      <c r="G12" s="48" t="s">
        <v>58</v>
      </c>
      <c r="H12" s="59"/>
      <c r="I12" s="14"/>
      <c r="J12" s="5"/>
      <c r="K12" s="5"/>
      <c r="L12" s="61"/>
      <c r="M12" s="116"/>
      <c r="N12" s="132"/>
      <c r="O12" s="132"/>
      <c r="P12" s="132"/>
      <c r="Q12" s="133"/>
      <c r="R12" s="110">
        <f t="shared" si="3"/>
        <v>0</v>
      </c>
      <c r="S12" s="116"/>
      <c r="T12" s="118"/>
      <c r="U12" s="118"/>
      <c r="V12" s="118"/>
      <c r="W12" s="119"/>
      <c r="X12" s="110">
        <f t="shared" si="0"/>
        <v>0</v>
      </c>
      <c r="Y12" s="116"/>
      <c r="Z12" s="118"/>
      <c r="AA12" s="118"/>
      <c r="AB12" s="118"/>
      <c r="AC12" s="119"/>
      <c r="AD12" s="110">
        <f t="shared" si="1"/>
        <v>0</v>
      </c>
      <c r="AE12" s="114">
        <f t="shared" si="4"/>
        <v>0</v>
      </c>
      <c r="AF12" s="115">
        <f t="shared" si="2"/>
        <v>0</v>
      </c>
      <c r="AG12" s="45"/>
      <c r="AH12" s="12"/>
      <c r="AI12" s="12"/>
      <c r="AJ12" s="12"/>
      <c r="AK12" s="12"/>
      <c r="AL12" s="12"/>
      <c r="AM12" s="12"/>
      <c r="AN12" s="11"/>
      <c r="AO12" s="11"/>
      <c r="AP12" s="11"/>
      <c r="AQ12" s="6"/>
      <c r="AR12" s="6"/>
      <c r="AS12" s="6"/>
      <c r="AT12" s="4"/>
      <c r="AU12" s="8"/>
      <c r="AV12" s="6"/>
      <c r="AW12" s="6"/>
      <c r="AX12" s="7"/>
      <c r="AY12" s="6"/>
      <c r="AZ12" s="6"/>
      <c r="BA12" s="8"/>
      <c r="BB12" s="9"/>
      <c r="BC12" s="7"/>
      <c r="BD12" s="6"/>
      <c r="BE12" s="6"/>
      <c r="BF12" s="4"/>
    </row>
    <row r="13" spans="2:59" ht="19.5" x14ac:dyDescent="0.25">
      <c r="B13" s="96" t="s">
        <v>65</v>
      </c>
      <c r="C13" s="51" t="s">
        <v>57</v>
      </c>
      <c r="D13" s="35"/>
      <c r="E13" s="5"/>
      <c r="F13" s="28"/>
      <c r="G13" s="48" t="s">
        <v>58</v>
      </c>
      <c r="H13" s="59"/>
      <c r="I13" s="14"/>
      <c r="J13" s="5"/>
      <c r="K13" s="5"/>
      <c r="L13" s="61"/>
      <c r="M13" s="116"/>
      <c r="N13" s="132"/>
      <c r="O13" s="132"/>
      <c r="P13" s="132"/>
      <c r="Q13" s="133"/>
      <c r="R13" s="110">
        <f t="shared" si="3"/>
        <v>0</v>
      </c>
      <c r="S13" s="116"/>
      <c r="T13" s="118"/>
      <c r="U13" s="118"/>
      <c r="V13" s="118"/>
      <c r="W13" s="119"/>
      <c r="X13" s="110">
        <f t="shared" si="0"/>
        <v>0</v>
      </c>
      <c r="Y13" s="116"/>
      <c r="Z13" s="118"/>
      <c r="AA13" s="118"/>
      <c r="AB13" s="118"/>
      <c r="AC13" s="119"/>
      <c r="AD13" s="110">
        <f t="shared" si="1"/>
        <v>0</v>
      </c>
      <c r="AE13" s="114">
        <f t="shared" si="4"/>
        <v>0</v>
      </c>
      <c r="AF13" s="115">
        <f t="shared" si="2"/>
        <v>0</v>
      </c>
      <c r="AG13" s="45"/>
      <c r="AH13" s="12"/>
      <c r="AI13" s="12"/>
      <c r="AJ13" s="12"/>
      <c r="AK13" s="12"/>
      <c r="AL13" s="12"/>
      <c r="AM13" s="12"/>
      <c r="AN13" s="11"/>
      <c r="AO13" s="11"/>
      <c r="AP13" s="11"/>
      <c r="AQ13" s="6"/>
      <c r="AR13" s="6"/>
      <c r="AS13" s="6"/>
      <c r="AT13" s="4"/>
      <c r="AU13" s="8"/>
      <c r="AV13" s="6"/>
      <c r="AW13" s="6"/>
      <c r="AX13" s="7"/>
      <c r="AY13" s="6"/>
      <c r="AZ13" s="6"/>
      <c r="BA13" s="8"/>
      <c r="BB13" s="9"/>
      <c r="BC13" s="7"/>
      <c r="BD13" s="6"/>
      <c r="BE13" s="6"/>
      <c r="BF13" s="4"/>
    </row>
    <row r="14" spans="2:59" ht="19.5" x14ac:dyDescent="0.25">
      <c r="B14" s="96" t="s">
        <v>66</v>
      </c>
      <c r="C14" s="51" t="s">
        <v>57</v>
      </c>
      <c r="D14" s="35"/>
      <c r="E14" s="5"/>
      <c r="F14" s="28"/>
      <c r="G14" s="48" t="s">
        <v>58</v>
      </c>
      <c r="H14" s="59"/>
      <c r="I14" s="14"/>
      <c r="J14" s="5"/>
      <c r="K14" s="5"/>
      <c r="L14" s="61"/>
      <c r="M14" s="116"/>
      <c r="N14" s="132"/>
      <c r="O14" s="132"/>
      <c r="P14" s="132"/>
      <c r="Q14" s="133"/>
      <c r="R14" s="110">
        <f t="shared" si="3"/>
        <v>0</v>
      </c>
      <c r="S14" s="116"/>
      <c r="T14" s="118"/>
      <c r="U14" s="118"/>
      <c r="V14" s="118"/>
      <c r="W14" s="119"/>
      <c r="X14" s="110">
        <f t="shared" si="0"/>
        <v>0</v>
      </c>
      <c r="Y14" s="116"/>
      <c r="Z14" s="118"/>
      <c r="AA14" s="118"/>
      <c r="AB14" s="118"/>
      <c r="AC14" s="119"/>
      <c r="AD14" s="110">
        <f t="shared" si="1"/>
        <v>0</v>
      </c>
      <c r="AE14" s="114">
        <f t="shared" si="4"/>
        <v>0</v>
      </c>
      <c r="AF14" s="115">
        <f t="shared" si="2"/>
        <v>0</v>
      </c>
      <c r="AG14" s="45"/>
      <c r="AH14" s="12"/>
      <c r="AI14" s="12"/>
      <c r="AJ14" s="12"/>
      <c r="AK14" s="12"/>
      <c r="AL14" s="12"/>
      <c r="AM14" s="12"/>
      <c r="AN14" s="11"/>
      <c r="AO14" s="11"/>
      <c r="AP14" s="11"/>
      <c r="AQ14" s="6"/>
      <c r="AR14" s="6"/>
      <c r="AS14" s="6"/>
      <c r="AT14" s="4"/>
      <c r="AU14" s="8"/>
      <c r="AV14" s="6"/>
      <c r="AW14" s="6"/>
      <c r="AX14" s="7"/>
      <c r="AY14" s="6"/>
      <c r="AZ14" s="6"/>
      <c r="BA14" s="8"/>
      <c r="BB14" s="9"/>
      <c r="BC14" s="7"/>
      <c r="BD14" s="6"/>
      <c r="BE14" s="6"/>
      <c r="BF14" s="4"/>
    </row>
    <row r="15" spans="2:59" ht="19.5" x14ac:dyDescent="0.25">
      <c r="B15" s="96" t="s">
        <v>67</v>
      </c>
      <c r="C15" s="51" t="s">
        <v>57</v>
      </c>
      <c r="D15" s="35"/>
      <c r="E15" s="5"/>
      <c r="F15" s="28"/>
      <c r="G15" s="48" t="s">
        <v>58</v>
      </c>
      <c r="H15" s="59"/>
      <c r="I15" s="14"/>
      <c r="J15" s="5"/>
      <c r="K15" s="5"/>
      <c r="L15" s="61"/>
      <c r="M15" s="116"/>
      <c r="N15" s="132"/>
      <c r="O15" s="132"/>
      <c r="P15" s="132"/>
      <c r="Q15" s="133"/>
      <c r="R15" s="110">
        <f t="shared" si="3"/>
        <v>0</v>
      </c>
      <c r="S15" s="116"/>
      <c r="T15" s="118"/>
      <c r="U15" s="118"/>
      <c r="V15" s="118"/>
      <c r="W15" s="119"/>
      <c r="X15" s="110">
        <f t="shared" si="0"/>
        <v>0</v>
      </c>
      <c r="Y15" s="116"/>
      <c r="Z15" s="118"/>
      <c r="AA15" s="118"/>
      <c r="AB15" s="118"/>
      <c r="AC15" s="119"/>
      <c r="AD15" s="110">
        <f t="shared" si="1"/>
        <v>0</v>
      </c>
      <c r="AE15" s="114">
        <f t="shared" si="4"/>
        <v>0</v>
      </c>
      <c r="AF15" s="115">
        <f t="shared" si="2"/>
        <v>0</v>
      </c>
      <c r="AG15" s="45"/>
      <c r="AH15" s="12"/>
      <c r="AI15" s="12"/>
      <c r="AJ15" s="12"/>
      <c r="AK15" s="12"/>
      <c r="AL15" s="12"/>
      <c r="AM15" s="12"/>
      <c r="AN15" s="11"/>
      <c r="AO15" s="11"/>
      <c r="AP15" s="11"/>
      <c r="AQ15" s="6"/>
      <c r="AR15" s="6"/>
      <c r="AS15" s="6"/>
      <c r="AT15" s="4"/>
      <c r="AU15" s="8"/>
      <c r="AV15" s="6"/>
      <c r="AW15" s="6"/>
      <c r="AX15" s="7"/>
      <c r="AY15" s="6"/>
      <c r="AZ15" s="6"/>
      <c r="BA15" s="8"/>
      <c r="BB15" s="9"/>
      <c r="BC15" s="7"/>
      <c r="BD15" s="6"/>
      <c r="BE15" s="6"/>
      <c r="BF15" s="4"/>
    </row>
    <row r="16" spans="2:59" ht="19.5" x14ac:dyDescent="0.25">
      <c r="B16" s="96" t="s">
        <v>68</v>
      </c>
      <c r="C16" s="51" t="s">
        <v>57</v>
      </c>
      <c r="D16" s="35"/>
      <c r="E16" s="5"/>
      <c r="F16" s="28"/>
      <c r="G16" s="48" t="s">
        <v>58</v>
      </c>
      <c r="H16" s="59"/>
      <c r="I16" s="14"/>
      <c r="J16" s="5"/>
      <c r="K16" s="5"/>
      <c r="L16" s="61"/>
      <c r="M16" s="116"/>
      <c r="N16" s="132"/>
      <c r="O16" s="132"/>
      <c r="P16" s="132"/>
      <c r="Q16" s="133"/>
      <c r="R16" s="110">
        <f t="shared" si="3"/>
        <v>0</v>
      </c>
      <c r="S16" s="116"/>
      <c r="T16" s="118"/>
      <c r="U16" s="118"/>
      <c r="V16" s="118"/>
      <c r="W16" s="119"/>
      <c r="X16" s="110">
        <f t="shared" si="0"/>
        <v>0</v>
      </c>
      <c r="Y16" s="116"/>
      <c r="Z16" s="118"/>
      <c r="AA16" s="118"/>
      <c r="AB16" s="118"/>
      <c r="AC16" s="119"/>
      <c r="AD16" s="110">
        <f t="shared" si="1"/>
        <v>0</v>
      </c>
      <c r="AE16" s="114">
        <f t="shared" si="4"/>
        <v>0</v>
      </c>
      <c r="AF16" s="115">
        <f t="shared" si="2"/>
        <v>0</v>
      </c>
      <c r="AG16" s="45"/>
      <c r="AH16" s="12"/>
      <c r="AI16" s="12"/>
      <c r="AJ16" s="12"/>
      <c r="AK16" s="12"/>
      <c r="AL16" s="12"/>
      <c r="AM16" s="12"/>
      <c r="AN16" s="11"/>
      <c r="AO16" s="11"/>
      <c r="AP16" s="11" t="e">
        <v>#DIV/0!</v>
      </c>
      <c r="AQ16" s="6"/>
      <c r="AR16" s="6"/>
      <c r="AS16" s="6" t="e">
        <v>#VALUE!</v>
      </c>
      <c r="AT16" s="4"/>
      <c r="AU16" s="8"/>
      <c r="AV16" s="6"/>
      <c r="AW16" s="6"/>
      <c r="AX16" s="7"/>
      <c r="AY16" s="6"/>
      <c r="AZ16" s="6"/>
      <c r="BA16" s="8"/>
      <c r="BB16" s="9"/>
      <c r="BC16" s="7"/>
      <c r="BD16" s="6"/>
      <c r="BE16" s="6"/>
      <c r="BF16" s="4"/>
    </row>
    <row r="17" spans="2:58" ht="19.5" x14ac:dyDescent="0.25">
      <c r="B17" s="96" t="s">
        <v>69</v>
      </c>
      <c r="C17" s="51" t="s">
        <v>57</v>
      </c>
      <c r="D17" s="35"/>
      <c r="E17" s="5"/>
      <c r="F17" s="28"/>
      <c r="G17" s="48" t="s">
        <v>58</v>
      </c>
      <c r="H17" s="59"/>
      <c r="I17" s="14"/>
      <c r="J17" s="5"/>
      <c r="K17" s="5"/>
      <c r="L17" s="61"/>
      <c r="M17" s="116"/>
      <c r="N17" s="132"/>
      <c r="O17" s="132"/>
      <c r="P17" s="132"/>
      <c r="Q17" s="133"/>
      <c r="R17" s="110">
        <f t="shared" si="3"/>
        <v>0</v>
      </c>
      <c r="S17" s="116"/>
      <c r="T17" s="109"/>
      <c r="U17" s="109"/>
      <c r="V17" s="112"/>
      <c r="W17" s="113"/>
      <c r="X17" s="110">
        <f t="shared" si="0"/>
        <v>0</v>
      </c>
      <c r="Y17" s="116"/>
      <c r="Z17" s="118"/>
      <c r="AA17" s="118"/>
      <c r="AB17" s="118"/>
      <c r="AC17" s="119"/>
      <c r="AD17" s="110">
        <f t="shared" si="1"/>
        <v>0</v>
      </c>
      <c r="AE17" s="114">
        <f t="shared" si="4"/>
        <v>0</v>
      </c>
      <c r="AF17" s="115">
        <f t="shared" si="2"/>
        <v>0</v>
      </c>
      <c r="AG17" s="45"/>
      <c r="AH17" s="12"/>
      <c r="AI17" s="12"/>
      <c r="AJ17" s="12"/>
      <c r="AK17" s="12"/>
      <c r="AL17" s="12"/>
      <c r="AM17" s="12"/>
      <c r="AN17" s="11"/>
      <c r="AO17" s="11"/>
      <c r="AP17" s="11" t="e">
        <f>AVERAGE(AN17:AO17)</f>
        <v>#DIV/0!</v>
      </c>
      <c r="AQ17" s="6"/>
      <c r="AR17" s="6"/>
      <c r="AS17" s="6" t="e">
        <f>(M17*$M$2+AE17*$AE$2+AM17*$AM$2+AP17*$AP$2+AQ17*$AQ$2+AR17*$AR$2)/($M$2+$AE$2+$AM$2+$AP$2+$AQ$2+$AR$2)</f>
        <v>#VALUE!</v>
      </c>
      <c r="AT17" s="4"/>
      <c r="AU17" s="8"/>
      <c r="AV17" s="6"/>
      <c r="AW17" s="6"/>
      <c r="AX17" s="7"/>
      <c r="AY17" s="6"/>
      <c r="AZ17" s="6"/>
      <c r="BA17" s="8"/>
      <c r="BB17" s="9"/>
      <c r="BC17" s="7"/>
      <c r="BD17" s="6"/>
      <c r="BE17" s="6"/>
      <c r="BF17" s="4"/>
    </row>
    <row r="18" spans="2:58" ht="19.5" x14ac:dyDescent="0.25">
      <c r="B18" s="96" t="s">
        <v>70</v>
      </c>
      <c r="C18" s="51" t="s">
        <v>57</v>
      </c>
      <c r="D18" s="35"/>
      <c r="E18" s="5"/>
      <c r="F18" s="28"/>
      <c r="G18" s="48" t="s">
        <v>58</v>
      </c>
      <c r="H18" s="59"/>
      <c r="I18" s="14"/>
      <c r="J18" s="5"/>
      <c r="K18" s="5"/>
      <c r="L18" s="61"/>
      <c r="M18" s="116"/>
      <c r="N18" s="132"/>
      <c r="O18" s="132"/>
      <c r="P18" s="132"/>
      <c r="Q18" s="133"/>
      <c r="R18" s="110">
        <f t="shared" si="3"/>
        <v>0</v>
      </c>
      <c r="S18" s="117"/>
      <c r="T18" s="118"/>
      <c r="U18" s="118"/>
      <c r="V18" s="118"/>
      <c r="W18" s="119"/>
      <c r="X18" s="110">
        <f t="shared" si="0"/>
        <v>0</v>
      </c>
      <c r="Y18" s="117"/>
      <c r="Z18" s="118"/>
      <c r="AA18" s="118"/>
      <c r="AB18" s="118"/>
      <c r="AC18" s="119"/>
      <c r="AD18" s="110">
        <f t="shared" si="1"/>
        <v>0</v>
      </c>
      <c r="AE18" s="114">
        <f t="shared" si="4"/>
        <v>0</v>
      </c>
      <c r="AF18" s="115">
        <f t="shared" si="2"/>
        <v>0</v>
      </c>
      <c r="AG18" s="45"/>
      <c r="AH18" s="12"/>
      <c r="AI18" s="12"/>
      <c r="AJ18" s="12"/>
      <c r="AK18" s="12"/>
      <c r="AL18" s="12"/>
      <c r="AM18" s="12"/>
      <c r="AN18" s="11"/>
      <c r="AO18" s="11"/>
      <c r="AP18" s="11" t="e">
        <v>#DIV/0!</v>
      </c>
      <c r="AQ18" s="6"/>
      <c r="AR18" s="6"/>
      <c r="AS18" s="6" t="e">
        <v>#VALUE!</v>
      </c>
      <c r="AT18" s="4"/>
      <c r="AU18" s="8"/>
      <c r="AV18" s="6"/>
      <c r="AW18" s="6"/>
      <c r="AX18" s="7"/>
      <c r="AY18" s="6"/>
      <c r="AZ18" s="6"/>
      <c r="BA18" s="8"/>
      <c r="BB18" s="9"/>
      <c r="BC18" s="7"/>
      <c r="BD18" s="6"/>
      <c r="BE18" s="6"/>
      <c r="BF18" s="4"/>
    </row>
    <row r="19" spans="2:58" ht="19.5" x14ac:dyDescent="0.25">
      <c r="B19" s="96" t="s">
        <v>71</v>
      </c>
      <c r="C19" s="51" t="s">
        <v>57</v>
      </c>
      <c r="D19" s="35"/>
      <c r="E19" s="5"/>
      <c r="F19" s="28"/>
      <c r="G19" s="48" t="s">
        <v>58</v>
      </c>
      <c r="H19" s="59"/>
      <c r="I19" s="14"/>
      <c r="J19" s="5"/>
      <c r="K19" s="5"/>
      <c r="L19" s="61"/>
      <c r="M19" s="116"/>
      <c r="N19" s="132"/>
      <c r="O19" s="132"/>
      <c r="P19" s="132"/>
      <c r="Q19" s="133"/>
      <c r="R19" s="110">
        <f t="shared" si="3"/>
        <v>0</v>
      </c>
      <c r="S19" s="117"/>
      <c r="T19" s="118"/>
      <c r="U19" s="118"/>
      <c r="V19" s="118"/>
      <c r="W19" s="119"/>
      <c r="X19" s="110">
        <f t="shared" si="0"/>
        <v>0</v>
      </c>
      <c r="Y19" s="117"/>
      <c r="Z19" s="118"/>
      <c r="AA19" s="118"/>
      <c r="AB19" s="118"/>
      <c r="AC19" s="119"/>
      <c r="AD19" s="110">
        <f t="shared" si="1"/>
        <v>0</v>
      </c>
      <c r="AE19" s="114">
        <f t="shared" si="4"/>
        <v>0</v>
      </c>
      <c r="AF19" s="115">
        <f t="shared" si="2"/>
        <v>0</v>
      </c>
      <c r="AG19" s="45"/>
      <c r="AH19" s="12"/>
      <c r="AI19" s="12"/>
      <c r="AJ19" s="12"/>
      <c r="AK19" s="12"/>
      <c r="AL19" s="12"/>
      <c r="AM19" s="12"/>
      <c r="AN19" s="11"/>
      <c r="AO19" s="11"/>
      <c r="AP19" s="11" t="e">
        <v>#DIV/0!</v>
      </c>
      <c r="AQ19" s="6"/>
      <c r="AR19" s="6"/>
      <c r="AS19" s="6" t="e">
        <v>#VALUE!</v>
      </c>
      <c r="AT19" s="4"/>
      <c r="AU19" s="8"/>
      <c r="AV19" s="6"/>
      <c r="AW19" s="6"/>
      <c r="AX19" s="7"/>
      <c r="AY19" s="6"/>
      <c r="AZ19" s="6"/>
      <c r="BA19" s="8"/>
      <c r="BB19" s="9"/>
      <c r="BC19" s="7"/>
      <c r="BD19" s="6"/>
      <c r="BE19" s="6"/>
      <c r="BF19" s="4"/>
    </row>
    <row r="20" spans="2:58" ht="20.25" thickBot="1" x14ac:dyDescent="0.3">
      <c r="B20" s="97"/>
      <c r="C20" s="63" t="s">
        <v>57</v>
      </c>
      <c r="D20" s="70"/>
      <c r="E20" s="71"/>
      <c r="F20" s="72"/>
      <c r="G20" s="73" t="s">
        <v>58</v>
      </c>
      <c r="H20" s="59"/>
      <c r="I20" s="14"/>
      <c r="J20" s="5"/>
      <c r="K20" s="5"/>
      <c r="L20" s="61"/>
      <c r="M20" s="116"/>
      <c r="N20" s="132"/>
      <c r="O20" s="132"/>
      <c r="P20" s="132"/>
      <c r="Q20" s="133"/>
      <c r="R20" s="110">
        <f t="shared" si="3"/>
        <v>0</v>
      </c>
      <c r="S20" s="117"/>
      <c r="T20" s="118"/>
      <c r="U20" s="118"/>
      <c r="V20" s="118"/>
      <c r="W20" s="119"/>
      <c r="X20" s="110">
        <f t="shared" si="0"/>
        <v>0</v>
      </c>
      <c r="Y20" s="117"/>
      <c r="Z20" s="118"/>
      <c r="AA20" s="118"/>
      <c r="AB20" s="118"/>
      <c r="AC20" s="119"/>
      <c r="AD20" s="110">
        <f t="shared" si="1"/>
        <v>0</v>
      </c>
      <c r="AE20" s="114">
        <f t="shared" si="4"/>
        <v>0</v>
      </c>
      <c r="AF20" s="115">
        <f t="shared" si="2"/>
        <v>0</v>
      </c>
      <c r="AG20" s="45"/>
      <c r="AH20" s="12"/>
      <c r="AI20" s="12"/>
      <c r="AJ20" s="12"/>
      <c r="AK20" s="12"/>
      <c r="AL20" s="12"/>
      <c r="AM20" s="12"/>
      <c r="AN20" s="11"/>
      <c r="AO20" s="11"/>
      <c r="AP20" s="11" t="e">
        <v>#DIV/0!</v>
      </c>
      <c r="AQ20" s="6"/>
      <c r="AR20" s="6"/>
      <c r="AS20" s="6" t="e">
        <v>#VALUE!</v>
      </c>
      <c r="AT20" s="4"/>
      <c r="AU20" s="8"/>
      <c r="AV20" s="6"/>
      <c r="AW20" s="6"/>
      <c r="AX20" s="7"/>
      <c r="AY20" s="6"/>
      <c r="AZ20" s="6"/>
      <c r="BA20" s="8"/>
      <c r="BB20" s="9"/>
      <c r="BC20" s="7"/>
      <c r="BD20" s="6"/>
      <c r="BE20" s="6"/>
      <c r="BF20" s="4"/>
    </row>
    <row r="21" spans="2:58" ht="22.5" x14ac:dyDescent="0.25">
      <c r="B21" s="98" t="s">
        <v>72</v>
      </c>
      <c r="C21" s="64" t="s">
        <v>73</v>
      </c>
      <c r="D21" s="66"/>
      <c r="E21" s="67"/>
      <c r="F21" s="68"/>
      <c r="G21" s="69" t="s">
        <v>74</v>
      </c>
      <c r="H21" s="138"/>
      <c r="I21" s="137" t="s">
        <v>75</v>
      </c>
      <c r="J21" s="137" t="s">
        <v>76</v>
      </c>
      <c r="K21" s="137"/>
      <c r="L21" s="124"/>
      <c r="M21" s="116" t="s">
        <v>77</v>
      </c>
      <c r="N21" s="132">
        <v>3</v>
      </c>
      <c r="O21" s="132">
        <v>3</v>
      </c>
      <c r="P21" s="132">
        <v>3</v>
      </c>
      <c r="Q21" s="133">
        <v>3</v>
      </c>
      <c r="R21" s="110">
        <f t="shared" si="3"/>
        <v>12</v>
      </c>
      <c r="S21" s="116" t="s">
        <v>77</v>
      </c>
      <c r="T21" s="118">
        <v>2</v>
      </c>
      <c r="U21" s="118">
        <v>2</v>
      </c>
      <c r="V21" s="118">
        <v>2</v>
      </c>
      <c r="W21" s="119">
        <v>2</v>
      </c>
      <c r="X21" s="110">
        <f t="shared" si="0"/>
        <v>8</v>
      </c>
      <c r="Y21" s="116" t="s">
        <v>77</v>
      </c>
      <c r="Z21" s="118">
        <v>4</v>
      </c>
      <c r="AA21" s="118">
        <v>2</v>
      </c>
      <c r="AB21" s="118">
        <v>3</v>
      </c>
      <c r="AC21" s="119">
        <v>4</v>
      </c>
      <c r="AD21" s="110">
        <f t="shared" si="1"/>
        <v>13</v>
      </c>
      <c r="AE21" s="114">
        <f t="shared" si="4"/>
        <v>33</v>
      </c>
      <c r="AF21" s="115">
        <f t="shared" si="2"/>
        <v>11</v>
      </c>
      <c r="AG21" s="45"/>
      <c r="AH21" s="12"/>
      <c r="AI21" s="12"/>
      <c r="AJ21" s="12"/>
      <c r="AK21" s="12"/>
      <c r="AL21" s="12"/>
      <c r="AM21" s="12"/>
      <c r="AN21" s="11"/>
      <c r="AO21" s="11"/>
      <c r="AP21" s="11" t="e">
        <f>AVERAGE(AN21:AO21)</f>
        <v>#DIV/0!</v>
      </c>
      <c r="AQ21" s="6"/>
      <c r="AR21" s="6"/>
      <c r="AS21" s="6" t="e">
        <f>(M21*$M$2+AE21*$AE$2+AM21*$AM$2+AP21*$AP$2+AQ21*$AQ$2+AR21*$AR$2)/($M$2+$AE$2+$AM$2+$AP$2+$AQ$2+$AR$2)</f>
        <v>#VALUE!</v>
      </c>
      <c r="AT21" s="4"/>
      <c r="AU21" s="8"/>
      <c r="AV21" s="6"/>
      <c r="AW21" s="6"/>
      <c r="AX21" s="7"/>
      <c r="AY21" s="6"/>
      <c r="AZ21" s="6"/>
      <c r="BA21" s="8"/>
      <c r="BB21" s="9"/>
      <c r="BC21" s="7"/>
      <c r="BD21" s="6"/>
      <c r="BE21" s="6"/>
      <c r="BF21" s="4"/>
    </row>
    <row r="22" spans="2:58" ht="19.5" x14ac:dyDescent="0.25">
      <c r="B22" s="99" t="s">
        <v>78</v>
      </c>
      <c r="C22" s="52" t="s">
        <v>73</v>
      </c>
      <c r="D22" s="35"/>
      <c r="E22" s="5"/>
      <c r="F22" s="28"/>
      <c r="G22" s="49" t="s">
        <v>74</v>
      </c>
      <c r="H22" s="138"/>
      <c r="I22" s="137" t="s">
        <v>79</v>
      </c>
      <c r="J22" s="137" t="s">
        <v>80</v>
      </c>
      <c r="K22" s="137"/>
      <c r="L22" s="124"/>
      <c r="M22" s="116" t="s">
        <v>77</v>
      </c>
      <c r="N22" s="132">
        <v>1</v>
      </c>
      <c r="O22" s="132">
        <v>3</v>
      </c>
      <c r="P22" s="132">
        <v>3</v>
      </c>
      <c r="Q22" s="133">
        <v>3</v>
      </c>
      <c r="R22" s="110">
        <f t="shared" si="3"/>
        <v>10</v>
      </c>
      <c r="S22" s="117" t="s">
        <v>77</v>
      </c>
      <c r="T22" s="118">
        <v>4</v>
      </c>
      <c r="U22" s="118">
        <v>3</v>
      </c>
      <c r="V22" s="118">
        <v>3</v>
      </c>
      <c r="W22" s="119">
        <v>3</v>
      </c>
      <c r="X22" s="110">
        <f t="shared" si="0"/>
        <v>13</v>
      </c>
      <c r="Y22" s="117" t="s">
        <v>77</v>
      </c>
      <c r="Z22" s="118">
        <v>3</v>
      </c>
      <c r="AA22" s="118">
        <v>2</v>
      </c>
      <c r="AB22" s="118">
        <v>3</v>
      </c>
      <c r="AC22" s="119">
        <v>2</v>
      </c>
      <c r="AD22" s="110">
        <f t="shared" si="1"/>
        <v>10</v>
      </c>
      <c r="AE22" s="114">
        <f t="shared" si="4"/>
        <v>33</v>
      </c>
      <c r="AF22" s="115">
        <f t="shared" si="2"/>
        <v>11</v>
      </c>
      <c r="AG22" s="45"/>
      <c r="AH22" s="12"/>
      <c r="AI22" s="12"/>
      <c r="AJ22" s="12"/>
      <c r="AK22" s="12"/>
      <c r="AL22" s="12"/>
      <c r="AM22" s="12"/>
      <c r="AN22" s="11"/>
      <c r="AO22" s="11"/>
      <c r="AP22" s="11" t="e">
        <v>#DIV/0!</v>
      </c>
      <c r="AQ22" s="6"/>
      <c r="AR22" s="6"/>
      <c r="AS22" s="6" t="e">
        <v>#VALUE!</v>
      </c>
      <c r="AT22" s="4"/>
      <c r="AU22" s="8"/>
      <c r="AV22" s="6"/>
      <c r="AW22" s="6"/>
      <c r="AX22" s="7"/>
      <c r="AY22" s="6"/>
      <c r="AZ22" s="6"/>
      <c r="BA22" s="8"/>
      <c r="BB22" s="9"/>
      <c r="BC22" s="7"/>
      <c r="BD22" s="6"/>
      <c r="BE22" s="6"/>
      <c r="BF22" s="4"/>
    </row>
    <row r="23" spans="2:58" ht="22.5" x14ac:dyDescent="0.25">
      <c r="B23" s="99" t="s">
        <v>81</v>
      </c>
      <c r="C23" s="52" t="s">
        <v>73</v>
      </c>
      <c r="D23" s="35"/>
      <c r="E23" s="5"/>
      <c r="F23" s="28"/>
      <c r="G23" s="49" t="s">
        <v>74</v>
      </c>
      <c r="H23" s="138"/>
      <c r="I23" s="137" t="s">
        <v>82</v>
      </c>
      <c r="J23" s="137" t="s">
        <v>83</v>
      </c>
      <c r="K23" s="137"/>
      <c r="L23" s="124"/>
      <c r="M23" s="116" t="s">
        <v>77</v>
      </c>
      <c r="N23" s="132">
        <v>1</v>
      </c>
      <c r="O23" s="132">
        <v>3</v>
      </c>
      <c r="P23" s="132">
        <v>3</v>
      </c>
      <c r="Q23" s="133">
        <v>3</v>
      </c>
      <c r="R23" s="110">
        <f t="shared" si="3"/>
        <v>10</v>
      </c>
      <c r="S23" s="117" t="s">
        <v>77</v>
      </c>
      <c r="T23" s="118">
        <v>4</v>
      </c>
      <c r="U23" s="118">
        <v>4</v>
      </c>
      <c r="V23" s="118">
        <v>3</v>
      </c>
      <c r="W23" s="119">
        <v>4</v>
      </c>
      <c r="X23" s="110">
        <f t="shared" si="0"/>
        <v>15</v>
      </c>
      <c r="Y23" s="117" t="s">
        <v>77</v>
      </c>
      <c r="Z23" s="118">
        <v>3</v>
      </c>
      <c r="AA23" s="118">
        <v>2</v>
      </c>
      <c r="AB23" s="118">
        <v>3</v>
      </c>
      <c r="AC23" s="119">
        <v>4</v>
      </c>
      <c r="AD23" s="110">
        <f t="shared" si="1"/>
        <v>12</v>
      </c>
      <c r="AE23" s="114">
        <f t="shared" si="4"/>
        <v>37</v>
      </c>
      <c r="AF23" s="115">
        <f t="shared" si="2"/>
        <v>12.333333333333334</v>
      </c>
      <c r="AG23" s="45"/>
      <c r="AH23" s="12"/>
      <c r="AI23" s="12"/>
      <c r="AJ23" s="12"/>
      <c r="AK23" s="12"/>
      <c r="AL23" s="12"/>
      <c r="AM23" s="12"/>
      <c r="AN23" s="11"/>
      <c r="AO23" s="11"/>
      <c r="AP23" s="11" t="e">
        <f>AVERAGE(AN23:AO23)</f>
        <v>#DIV/0!</v>
      </c>
      <c r="AQ23" s="6"/>
      <c r="AR23" s="6"/>
      <c r="AS23" s="6" t="e">
        <f>(M23*$M$2+AE23*$AE$2+AM23*$AM$2+AP23*$AP$2+AQ23*$AQ$2+AR23*$AR$2)/($M$2+$AE$2+$AM$2+$AP$2+$AQ$2+$AR$2)</f>
        <v>#VALUE!</v>
      </c>
      <c r="AT23" s="4"/>
      <c r="AU23" s="8"/>
      <c r="AV23" s="6"/>
      <c r="AW23" s="6"/>
      <c r="AX23" s="7"/>
      <c r="AY23" s="6"/>
      <c r="AZ23" s="6"/>
      <c r="BA23" s="8"/>
      <c r="BB23" s="9"/>
      <c r="BC23" s="7"/>
      <c r="BD23" s="6"/>
      <c r="BE23" s="6"/>
      <c r="BF23" s="4"/>
    </row>
    <row r="24" spans="2:58" ht="19.5" x14ac:dyDescent="0.4">
      <c r="B24" s="102" t="s">
        <v>84</v>
      </c>
      <c r="C24" s="52" t="s">
        <v>73</v>
      </c>
      <c r="D24" s="35"/>
      <c r="E24" s="5"/>
      <c r="F24" s="28"/>
      <c r="G24" s="49" t="s">
        <v>74</v>
      </c>
      <c r="H24" s="138"/>
      <c r="I24" s="137" t="s">
        <v>85</v>
      </c>
      <c r="J24" s="137" t="s">
        <v>86</v>
      </c>
      <c r="K24" s="137"/>
      <c r="L24" s="124"/>
      <c r="M24" s="116" t="s">
        <v>77</v>
      </c>
      <c r="N24" s="132">
        <v>3</v>
      </c>
      <c r="O24" s="132">
        <v>2</v>
      </c>
      <c r="P24" s="132">
        <v>2</v>
      </c>
      <c r="Q24" s="133">
        <v>3</v>
      </c>
      <c r="R24" s="110">
        <f t="shared" si="3"/>
        <v>10</v>
      </c>
      <c r="S24" s="117" t="s">
        <v>77</v>
      </c>
      <c r="T24" s="118">
        <v>3</v>
      </c>
      <c r="U24" s="118">
        <v>3</v>
      </c>
      <c r="V24" s="118">
        <v>3</v>
      </c>
      <c r="W24" s="119">
        <v>4</v>
      </c>
      <c r="X24" s="110">
        <f t="shared" si="0"/>
        <v>13</v>
      </c>
      <c r="Y24" s="117" t="s">
        <v>77</v>
      </c>
      <c r="Z24" s="118">
        <v>3</v>
      </c>
      <c r="AA24" s="118">
        <v>2</v>
      </c>
      <c r="AB24" s="118">
        <v>3</v>
      </c>
      <c r="AC24" s="119">
        <v>2</v>
      </c>
      <c r="AD24" s="110">
        <f t="shared" si="1"/>
        <v>10</v>
      </c>
      <c r="AE24" s="114">
        <f t="shared" si="4"/>
        <v>33</v>
      </c>
      <c r="AF24" s="115">
        <f t="shared" si="2"/>
        <v>11</v>
      </c>
      <c r="AG24" s="45"/>
      <c r="AH24" s="12"/>
      <c r="AI24" s="12"/>
      <c r="AJ24" s="12"/>
      <c r="AK24" s="12"/>
      <c r="AL24" s="12"/>
      <c r="AM24" s="12"/>
      <c r="AN24" s="11"/>
      <c r="AO24" s="11"/>
      <c r="AP24" s="11" t="e">
        <f>AVERAGE(AN24:AO24)</f>
        <v>#DIV/0!</v>
      </c>
      <c r="AQ24" s="6"/>
      <c r="AR24" s="6"/>
      <c r="AS24" s="6" t="e">
        <f>(M24*$M$2+AE24*$AE$2+AM24*$AM$2+AP24*$AP$2+AQ24*$AQ$2+AR24*$AR$2)/($M$2+$AE$2+$AM$2+$AP$2+$AQ$2+$AR$2)</f>
        <v>#VALUE!</v>
      </c>
      <c r="AT24" s="4"/>
      <c r="AU24" s="8"/>
      <c r="AV24" s="6"/>
      <c r="AW24" s="6"/>
      <c r="AX24" s="7"/>
      <c r="AY24" s="6"/>
      <c r="AZ24" s="6"/>
      <c r="BA24" s="8"/>
      <c r="BB24" s="9"/>
      <c r="BC24" s="7"/>
      <c r="BD24" s="6"/>
      <c r="BE24" s="6"/>
      <c r="BF24" s="4"/>
    </row>
    <row r="25" spans="2:58" ht="19.5" x14ac:dyDescent="0.4">
      <c r="B25" s="102" t="s">
        <v>87</v>
      </c>
      <c r="C25" s="52" t="s">
        <v>73</v>
      </c>
      <c r="D25" s="35"/>
      <c r="E25" s="5"/>
      <c r="F25" s="28"/>
      <c r="G25" s="49" t="s">
        <v>74</v>
      </c>
      <c r="H25" s="138"/>
      <c r="I25" s="137" t="s">
        <v>88</v>
      </c>
      <c r="J25" s="137" t="s">
        <v>89</v>
      </c>
      <c r="K25" s="137"/>
      <c r="L25" s="124"/>
      <c r="M25" s="116" t="s">
        <v>77</v>
      </c>
      <c r="N25" s="132">
        <v>3</v>
      </c>
      <c r="O25" s="132">
        <v>3</v>
      </c>
      <c r="P25" s="132">
        <v>3</v>
      </c>
      <c r="Q25" s="133">
        <v>4</v>
      </c>
      <c r="R25" s="110">
        <f t="shared" si="3"/>
        <v>13</v>
      </c>
      <c r="S25" s="117" t="s">
        <v>77</v>
      </c>
      <c r="T25" s="118">
        <v>4</v>
      </c>
      <c r="U25" s="118">
        <v>3</v>
      </c>
      <c r="V25" s="118">
        <v>3</v>
      </c>
      <c r="W25" s="119">
        <v>3</v>
      </c>
      <c r="X25" s="110">
        <f t="shared" si="0"/>
        <v>13</v>
      </c>
      <c r="Y25" s="117" t="s">
        <v>77</v>
      </c>
      <c r="Z25" s="118">
        <v>4</v>
      </c>
      <c r="AA25" s="118">
        <v>2</v>
      </c>
      <c r="AB25" s="118">
        <v>3</v>
      </c>
      <c r="AC25" s="119">
        <v>4</v>
      </c>
      <c r="AD25" s="110">
        <f t="shared" si="1"/>
        <v>13</v>
      </c>
      <c r="AE25" s="114">
        <f t="shared" si="4"/>
        <v>39</v>
      </c>
      <c r="AF25" s="115">
        <f t="shared" si="2"/>
        <v>13</v>
      </c>
      <c r="AG25" s="45"/>
      <c r="AH25" s="12"/>
      <c r="AI25" s="12"/>
      <c r="AJ25" s="12"/>
      <c r="AK25" s="12"/>
      <c r="AL25" s="12"/>
      <c r="AM25" s="12"/>
      <c r="AN25" s="11"/>
      <c r="AO25" s="11"/>
      <c r="AP25" s="11" t="e">
        <f>AVERAGE(AN25:AO25)</f>
        <v>#DIV/0!</v>
      </c>
      <c r="AQ25" s="6"/>
      <c r="AR25" s="6"/>
      <c r="AS25" s="6" t="e">
        <f>(M25*$M$2+AE25*$AE$2+AM25*$AM$2+AP25*$AP$2+AQ25*$AQ$2+AR25*$AR$2)/($M$2+$AE$2+$AM$2+$AP$2+$AQ$2+$AR$2)</f>
        <v>#VALUE!</v>
      </c>
      <c r="AT25" s="4"/>
      <c r="AU25" s="8"/>
      <c r="AV25" s="6"/>
      <c r="AW25" s="6"/>
      <c r="AX25" s="7"/>
      <c r="AY25" s="6"/>
      <c r="AZ25" s="6"/>
      <c r="BA25" s="8"/>
      <c r="BB25" s="9"/>
      <c r="BC25" s="7"/>
      <c r="BD25" s="6"/>
      <c r="BE25" s="6"/>
      <c r="BF25" s="4"/>
    </row>
    <row r="26" spans="2:58" ht="22.5" x14ac:dyDescent="0.4">
      <c r="B26" s="102" t="s">
        <v>90</v>
      </c>
      <c r="C26" s="52" t="s">
        <v>73</v>
      </c>
      <c r="D26" s="35"/>
      <c r="E26" s="5"/>
      <c r="F26" s="28"/>
      <c r="G26" s="49" t="s">
        <v>74</v>
      </c>
      <c r="H26" s="139"/>
      <c r="I26" s="137" t="s">
        <v>91</v>
      </c>
      <c r="J26" s="137" t="s">
        <v>92</v>
      </c>
      <c r="K26" s="137"/>
      <c r="L26" s="124"/>
      <c r="M26" s="116" t="s">
        <v>77</v>
      </c>
      <c r="N26" s="132">
        <v>3</v>
      </c>
      <c r="O26" s="132">
        <v>3</v>
      </c>
      <c r="P26" s="132">
        <v>3</v>
      </c>
      <c r="Q26" s="133">
        <v>4</v>
      </c>
      <c r="R26" s="110">
        <f t="shared" si="3"/>
        <v>13</v>
      </c>
      <c r="S26" s="117" t="s">
        <v>77</v>
      </c>
      <c r="T26" s="118">
        <v>2</v>
      </c>
      <c r="U26" s="118">
        <v>1</v>
      </c>
      <c r="V26" s="118">
        <v>2</v>
      </c>
      <c r="W26" s="119">
        <v>3</v>
      </c>
      <c r="X26" s="110">
        <f t="shared" si="0"/>
        <v>8</v>
      </c>
      <c r="Y26" s="117" t="s">
        <v>77</v>
      </c>
      <c r="Z26" s="118">
        <v>3</v>
      </c>
      <c r="AA26" s="118">
        <v>2</v>
      </c>
      <c r="AB26" s="118">
        <v>3</v>
      </c>
      <c r="AC26" s="119">
        <v>4</v>
      </c>
      <c r="AD26" s="110">
        <f t="shared" si="1"/>
        <v>12</v>
      </c>
      <c r="AE26" s="114">
        <f t="shared" si="4"/>
        <v>33</v>
      </c>
      <c r="AF26" s="115">
        <f t="shared" si="2"/>
        <v>11</v>
      </c>
      <c r="AG26" s="45"/>
      <c r="AH26" s="12"/>
      <c r="AI26" s="12"/>
      <c r="AJ26" s="12"/>
      <c r="AK26" s="12"/>
      <c r="AL26" s="12"/>
      <c r="AM26" s="12"/>
      <c r="AN26" s="11"/>
      <c r="AO26" s="11"/>
      <c r="AP26" s="11" t="e">
        <v>#DIV/0!</v>
      </c>
      <c r="AQ26" s="6"/>
      <c r="AR26" s="6"/>
      <c r="AS26" s="6" t="e">
        <v>#VALUE!</v>
      </c>
      <c r="AT26" s="4"/>
      <c r="AU26" s="8"/>
      <c r="AV26" s="6"/>
      <c r="AW26" s="6"/>
      <c r="AX26" s="7"/>
      <c r="AY26" s="6"/>
      <c r="AZ26" s="6"/>
      <c r="BA26" s="8"/>
      <c r="BB26" s="9"/>
      <c r="BC26" s="7"/>
      <c r="BD26" s="6"/>
      <c r="BE26" s="6"/>
      <c r="BF26" s="4"/>
    </row>
    <row r="27" spans="2:58" ht="22.5" x14ac:dyDescent="0.4">
      <c r="B27" s="103" t="s">
        <v>93</v>
      </c>
      <c r="C27" s="52" t="s">
        <v>73</v>
      </c>
      <c r="D27" s="146"/>
      <c r="E27" s="147"/>
      <c r="F27" s="36"/>
      <c r="G27" s="49" t="s">
        <v>74</v>
      </c>
      <c r="H27" s="139"/>
      <c r="I27" s="137" t="s">
        <v>79</v>
      </c>
      <c r="J27" s="137" t="s">
        <v>94</v>
      </c>
      <c r="K27" s="137"/>
      <c r="L27" s="124"/>
      <c r="M27" s="116" t="s">
        <v>77</v>
      </c>
      <c r="N27" s="132">
        <v>3</v>
      </c>
      <c r="O27" s="132">
        <v>4</v>
      </c>
      <c r="P27" s="132">
        <v>3</v>
      </c>
      <c r="Q27" s="133">
        <v>4</v>
      </c>
      <c r="R27" s="110">
        <f t="shared" si="3"/>
        <v>14</v>
      </c>
      <c r="S27" s="117" t="s">
        <v>77</v>
      </c>
      <c r="T27" s="118">
        <v>2</v>
      </c>
      <c r="U27" s="118">
        <v>1</v>
      </c>
      <c r="V27" s="118">
        <v>3</v>
      </c>
      <c r="W27" s="119">
        <v>3</v>
      </c>
      <c r="X27" s="110">
        <f t="shared" si="0"/>
        <v>9</v>
      </c>
      <c r="Y27" s="117" t="s">
        <v>77</v>
      </c>
      <c r="Z27" s="118">
        <v>2</v>
      </c>
      <c r="AA27" s="118">
        <v>2</v>
      </c>
      <c r="AB27" s="118">
        <v>3</v>
      </c>
      <c r="AC27" s="119">
        <v>3</v>
      </c>
      <c r="AD27" s="110">
        <f t="shared" si="1"/>
        <v>10</v>
      </c>
      <c r="AE27" s="114">
        <f t="shared" si="4"/>
        <v>33</v>
      </c>
      <c r="AF27" s="115">
        <f t="shared" si="2"/>
        <v>11</v>
      </c>
      <c r="AG27" s="45"/>
      <c r="AH27" s="12"/>
      <c r="AI27" s="12"/>
      <c r="AJ27" s="12"/>
      <c r="AK27" s="12"/>
      <c r="AL27" s="12"/>
      <c r="AM27" s="12"/>
      <c r="AN27" s="11"/>
      <c r="AO27" s="11"/>
      <c r="AP27" s="11" t="e">
        <v>#DIV/0!</v>
      </c>
      <c r="AQ27" s="6"/>
      <c r="AR27" s="6"/>
      <c r="AS27" s="6" t="e">
        <v>#VALUE!</v>
      </c>
      <c r="AT27" s="4"/>
      <c r="AU27" s="8"/>
      <c r="AV27" s="6"/>
      <c r="AW27" s="6"/>
      <c r="AX27" s="7"/>
      <c r="AY27" s="6"/>
      <c r="AZ27" s="6"/>
      <c r="BA27" s="8"/>
      <c r="BB27" s="9"/>
      <c r="BC27" s="7"/>
      <c r="BD27" s="6"/>
      <c r="BE27" s="6"/>
      <c r="BF27" s="4"/>
    </row>
    <row r="28" spans="2:58" ht="29.45" customHeight="1" x14ac:dyDescent="0.4">
      <c r="B28" s="103" t="s">
        <v>95</v>
      </c>
      <c r="C28" s="52" t="s">
        <v>73</v>
      </c>
      <c r="D28" s="146"/>
      <c r="E28" s="147"/>
      <c r="F28" s="36"/>
      <c r="G28" s="49" t="s">
        <v>74</v>
      </c>
      <c r="H28" s="139"/>
      <c r="I28" s="137" t="s">
        <v>96</v>
      </c>
      <c r="J28" s="137" t="s">
        <v>97</v>
      </c>
      <c r="K28" s="137"/>
      <c r="L28" s="124"/>
      <c r="M28" s="116" t="s">
        <v>77</v>
      </c>
      <c r="N28" s="132">
        <v>3</v>
      </c>
      <c r="O28" s="132">
        <v>3</v>
      </c>
      <c r="P28" s="132">
        <v>3</v>
      </c>
      <c r="Q28" s="133">
        <v>4</v>
      </c>
      <c r="R28" s="110">
        <f t="shared" si="3"/>
        <v>13</v>
      </c>
      <c r="S28" s="117" t="s">
        <v>77</v>
      </c>
      <c r="T28" s="118">
        <v>3</v>
      </c>
      <c r="U28" s="118">
        <v>2</v>
      </c>
      <c r="V28" s="118">
        <v>3</v>
      </c>
      <c r="W28" s="119">
        <v>4</v>
      </c>
      <c r="X28" s="110">
        <f t="shared" si="0"/>
        <v>12</v>
      </c>
      <c r="Y28" s="117" t="s">
        <v>77</v>
      </c>
      <c r="Z28" s="118">
        <v>3</v>
      </c>
      <c r="AA28" s="118">
        <v>2</v>
      </c>
      <c r="AB28" s="118">
        <v>3</v>
      </c>
      <c r="AC28" s="119">
        <v>3</v>
      </c>
      <c r="AD28" s="110">
        <f t="shared" si="1"/>
        <v>11</v>
      </c>
      <c r="AE28" s="114">
        <f t="shared" si="4"/>
        <v>36</v>
      </c>
      <c r="AF28" s="115">
        <f t="shared" si="2"/>
        <v>12</v>
      </c>
      <c r="AG28" s="45"/>
      <c r="AH28" s="12"/>
      <c r="AI28" s="12"/>
      <c r="AJ28" s="12"/>
      <c r="AK28" s="12"/>
      <c r="AL28" s="12"/>
      <c r="AM28" s="12"/>
      <c r="AN28" s="11"/>
      <c r="AO28" s="11"/>
      <c r="AP28" s="11"/>
      <c r="AQ28" s="6"/>
      <c r="AR28" s="6"/>
      <c r="AS28" s="6"/>
      <c r="AT28" s="4"/>
      <c r="AU28" s="8"/>
      <c r="AV28" s="6"/>
      <c r="AW28" s="6"/>
      <c r="AX28" s="7"/>
      <c r="AY28" s="6"/>
      <c r="AZ28" s="6"/>
      <c r="BA28" s="8"/>
      <c r="BB28" s="9"/>
      <c r="BC28" s="7"/>
      <c r="BD28" s="6"/>
      <c r="BE28" s="6"/>
      <c r="BF28" s="4"/>
    </row>
    <row r="29" spans="2:58" ht="22.5" x14ac:dyDescent="0.4">
      <c r="B29" s="103" t="s">
        <v>98</v>
      </c>
      <c r="C29" s="52" t="s">
        <v>73</v>
      </c>
      <c r="D29" s="146"/>
      <c r="E29" s="147"/>
      <c r="F29" s="36"/>
      <c r="G29" s="49" t="s">
        <v>74</v>
      </c>
      <c r="H29" s="139"/>
      <c r="I29" s="137" t="s">
        <v>99</v>
      </c>
      <c r="J29" s="137" t="s">
        <v>100</v>
      </c>
      <c r="K29" s="137"/>
      <c r="L29" s="124"/>
      <c r="M29" s="116" t="s">
        <v>77</v>
      </c>
      <c r="N29" s="132">
        <v>3</v>
      </c>
      <c r="O29" s="132">
        <v>2</v>
      </c>
      <c r="P29" s="132">
        <v>3</v>
      </c>
      <c r="Q29" s="133">
        <v>2</v>
      </c>
      <c r="R29" s="110">
        <f t="shared" si="3"/>
        <v>10</v>
      </c>
      <c r="S29" s="117" t="s">
        <v>77</v>
      </c>
      <c r="T29" s="118">
        <v>3</v>
      </c>
      <c r="U29" s="118">
        <v>2</v>
      </c>
      <c r="V29" s="118">
        <v>4</v>
      </c>
      <c r="W29" s="119">
        <v>3</v>
      </c>
      <c r="X29" s="110">
        <f t="shared" si="0"/>
        <v>12</v>
      </c>
      <c r="Y29" s="117" t="s">
        <v>77</v>
      </c>
      <c r="Z29" s="118">
        <v>3</v>
      </c>
      <c r="AA29" s="118">
        <v>3</v>
      </c>
      <c r="AB29" s="118">
        <v>3</v>
      </c>
      <c r="AC29" s="119">
        <v>4</v>
      </c>
      <c r="AD29" s="110">
        <f t="shared" si="1"/>
        <v>13</v>
      </c>
      <c r="AE29" s="114">
        <f t="shared" si="4"/>
        <v>35</v>
      </c>
      <c r="AF29" s="115">
        <f t="shared" si="2"/>
        <v>11.666666666666666</v>
      </c>
      <c r="AG29" s="45"/>
      <c r="AH29" s="12"/>
      <c r="AI29" s="12"/>
      <c r="AJ29" s="12"/>
      <c r="AK29" s="12"/>
      <c r="AL29" s="12"/>
      <c r="AM29" s="12"/>
      <c r="AN29" s="11"/>
      <c r="AO29" s="11"/>
      <c r="AP29" s="11"/>
      <c r="AQ29" s="6"/>
      <c r="AR29" s="6"/>
      <c r="AS29" s="6"/>
      <c r="AT29" s="4"/>
      <c r="AU29" s="8"/>
      <c r="AV29" s="6"/>
      <c r="AW29" s="6"/>
      <c r="AX29" s="7"/>
      <c r="AY29" s="6"/>
      <c r="AZ29" s="6"/>
      <c r="BA29" s="8"/>
      <c r="BB29" s="9"/>
      <c r="BC29" s="7"/>
      <c r="BD29" s="6"/>
      <c r="BE29" s="6"/>
      <c r="BF29" s="4"/>
    </row>
    <row r="30" spans="2:58" ht="22.5" x14ac:dyDescent="0.4">
      <c r="B30" s="103" t="s">
        <v>101</v>
      </c>
      <c r="C30" s="52" t="s">
        <v>73</v>
      </c>
      <c r="D30" s="146"/>
      <c r="E30" s="147"/>
      <c r="F30" s="36"/>
      <c r="G30" s="49" t="s">
        <v>74</v>
      </c>
      <c r="H30" s="139"/>
      <c r="I30" s="137" t="s">
        <v>102</v>
      </c>
      <c r="J30" s="137" t="s">
        <v>102</v>
      </c>
      <c r="K30" s="137"/>
      <c r="L30" s="124" t="s">
        <v>103</v>
      </c>
      <c r="M30" s="116" t="s">
        <v>77</v>
      </c>
      <c r="N30" s="132">
        <v>1</v>
      </c>
      <c r="O30" s="132">
        <v>2</v>
      </c>
      <c r="P30" s="132">
        <v>2</v>
      </c>
      <c r="Q30" s="133">
        <v>3</v>
      </c>
      <c r="R30" s="110">
        <f t="shared" si="3"/>
        <v>8</v>
      </c>
      <c r="S30" s="117" t="s">
        <v>77</v>
      </c>
      <c r="T30" s="118">
        <v>3</v>
      </c>
      <c r="U30" s="118">
        <v>3</v>
      </c>
      <c r="V30" s="118">
        <v>2</v>
      </c>
      <c r="W30" s="119">
        <v>3</v>
      </c>
      <c r="X30" s="110">
        <f t="shared" si="0"/>
        <v>11</v>
      </c>
      <c r="Y30" s="117" t="s">
        <v>77</v>
      </c>
      <c r="Z30" s="118">
        <v>2</v>
      </c>
      <c r="AA30" s="118">
        <v>2</v>
      </c>
      <c r="AB30" s="118">
        <v>2</v>
      </c>
      <c r="AC30" s="119">
        <v>3</v>
      </c>
      <c r="AD30" s="110">
        <f t="shared" si="1"/>
        <v>9</v>
      </c>
      <c r="AE30" s="114">
        <f t="shared" si="4"/>
        <v>28</v>
      </c>
      <c r="AF30" s="115">
        <f t="shared" si="2"/>
        <v>9.3333333333333339</v>
      </c>
      <c r="AG30" s="45"/>
      <c r="AH30" s="12"/>
      <c r="AI30" s="12"/>
      <c r="AJ30" s="12"/>
      <c r="AK30" s="12"/>
      <c r="AL30" s="12"/>
      <c r="AM30" s="12"/>
      <c r="AN30" s="11"/>
      <c r="AO30" s="11"/>
      <c r="AP30" s="11"/>
      <c r="AQ30" s="6"/>
      <c r="AR30" s="6"/>
      <c r="AS30" s="6"/>
      <c r="AT30" s="4"/>
      <c r="AU30" s="8"/>
      <c r="AV30" s="6"/>
      <c r="AW30" s="6"/>
      <c r="AX30" s="7"/>
      <c r="AY30" s="6"/>
      <c r="AZ30" s="6"/>
      <c r="BA30" s="8"/>
      <c r="BB30" s="9"/>
      <c r="BC30" s="7"/>
      <c r="BD30" s="6"/>
      <c r="BE30" s="6"/>
      <c r="BF30" s="4"/>
    </row>
    <row r="31" spans="2:58" ht="19.5" x14ac:dyDescent="0.4">
      <c r="B31" s="103" t="s">
        <v>104</v>
      </c>
      <c r="C31" s="52" t="s">
        <v>73</v>
      </c>
      <c r="D31" s="146"/>
      <c r="E31" s="147"/>
      <c r="F31" s="36"/>
      <c r="G31" s="49" t="s">
        <v>74</v>
      </c>
      <c r="H31" s="139"/>
      <c r="I31" s="137" t="s">
        <v>82</v>
      </c>
      <c r="J31" s="137" t="s">
        <v>105</v>
      </c>
      <c r="K31" s="137"/>
      <c r="L31" s="124"/>
      <c r="M31" s="116" t="s">
        <v>77</v>
      </c>
      <c r="N31" s="132">
        <v>3</v>
      </c>
      <c r="O31" s="132">
        <v>2</v>
      </c>
      <c r="P31" s="132">
        <v>3</v>
      </c>
      <c r="Q31" s="133">
        <v>3</v>
      </c>
      <c r="R31" s="110">
        <f t="shared" si="3"/>
        <v>11</v>
      </c>
      <c r="S31" s="117" t="s">
        <v>77</v>
      </c>
      <c r="T31" s="118">
        <v>3</v>
      </c>
      <c r="U31" s="118">
        <v>2</v>
      </c>
      <c r="V31" s="118">
        <v>3</v>
      </c>
      <c r="W31" s="119">
        <v>3</v>
      </c>
      <c r="X31" s="110">
        <f t="shared" si="0"/>
        <v>11</v>
      </c>
      <c r="Y31" s="117" t="s">
        <v>77</v>
      </c>
      <c r="Z31" s="118">
        <v>3</v>
      </c>
      <c r="AA31" s="118">
        <v>3</v>
      </c>
      <c r="AB31" s="118">
        <v>3</v>
      </c>
      <c r="AC31" s="119">
        <v>3</v>
      </c>
      <c r="AD31" s="110">
        <f t="shared" si="1"/>
        <v>12</v>
      </c>
      <c r="AE31" s="114">
        <f t="shared" si="4"/>
        <v>34</v>
      </c>
      <c r="AF31" s="115">
        <f t="shared" si="2"/>
        <v>11.333333333333334</v>
      </c>
      <c r="AG31" s="45"/>
      <c r="AH31" s="12"/>
      <c r="AI31" s="12"/>
      <c r="AJ31" s="12"/>
      <c r="AK31" s="12"/>
      <c r="AL31" s="12"/>
      <c r="AM31" s="12"/>
      <c r="AN31" s="11"/>
      <c r="AO31" s="11"/>
      <c r="AP31" s="11"/>
      <c r="AQ31" s="6"/>
      <c r="AR31" s="6"/>
      <c r="AS31" s="6"/>
      <c r="AT31" s="4"/>
      <c r="AU31" s="8"/>
      <c r="AV31" s="6"/>
      <c r="AW31" s="6"/>
      <c r="AX31" s="7"/>
      <c r="AY31" s="6"/>
      <c r="AZ31" s="6"/>
      <c r="BA31" s="8"/>
      <c r="BB31" s="9"/>
      <c r="BC31" s="7"/>
      <c r="BD31" s="6"/>
      <c r="BE31" s="6"/>
      <c r="BF31" s="4"/>
    </row>
    <row r="32" spans="2:58" ht="19.5" x14ac:dyDescent="0.4">
      <c r="B32" s="103"/>
      <c r="C32" s="52" t="s">
        <v>73</v>
      </c>
      <c r="D32" s="146"/>
      <c r="E32" s="147"/>
      <c r="F32" s="36"/>
      <c r="G32" s="49" t="s">
        <v>74</v>
      </c>
      <c r="H32" s="139"/>
      <c r="I32" s="137"/>
      <c r="J32" s="137"/>
      <c r="K32" s="137"/>
      <c r="L32" s="124"/>
      <c r="M32" s="116"/>
      <c r="N32" s="132"/>
      <c r="O32" s="132"/>
      <c r="P32" s="132"/>
      <c r="Q32" s="133"/>
      <c r="R32" s="110">
        <f t="shared" si="3"/>
        <v>0</v>
      </c>
      <c r="S32" s="117"/>
      <c r="T32" s="118"/>
      <c r="U32" s="118"/>
      <c r="V32" s="118"/>
      <c r="W32" s="119"/>
      <c r="X32" s="110">
        <f t="shared" si="0"/>
        <v>0</v>
      </c>
      <c r="Y32" s="117"/>
      <c r="Z32" s="118"/>
      <c r="AA32" s="118"/>
      <c r="AB32" s="118"/>
      <c r="AC32" s="119"/>
      <c r="AD32" s="110">
        <f t="shared" si="1"/>
        <v>0</v>
      </c>
      <c r="AE32" s="114">
        <f t="shared" si="4"/>
        <v>0</v>
      </c>
      <c r="AF32" s="115">
        <f t="shared" si="2"/>
        <v>0</v>
      </c>
      <c r="AG32" s="45"/>
      <c r="AH32" s="12"/>
      <c r="AI32" s="12"/>
      <c r="AJ32" s="12"/>
      <c r="AK32" s="12"/>
      <c r="AL32" s="12"/>
      <c r="AM32" s="12"/>
      <c r="AN32" s="11"/>
      <c r="AO32" s="11"/>
      <c r="AP32" s="11" t="e">
        <v>#DIV/0!</v>
      </c>
      <c r="AQ32" s="6"/>
      <c r="AR32" s="6"/>
      <c r="AS32" s="6" t="e">
        <v>#VALUE!</v>
      </c>
      <c r="AT32" s="4"/>
      <c r="AU32" s="8"/>
      <c r="AV32" s="6"/>
      <c r="AW32" s="6"/>
      <c r="AX32" s="7"/>
      <c r="AY32" s="6"/>
      <c r="AZ32" s="6"/>
      <c r="BA32" s="8"/>
      <c r="BB32" s="9"/>
      <c r="BC32" s="7"/>
      <c r="BD32" s="6"/>
      <c r="BE32" s="6"/>
      <c r="BF32" s="4"/>
    </row>
    <row r="33" spans="2:58" ht="19.5" x14ac:dyDescent="0.4">
      <c r="B33" s="103"/>
      <c r="C33" s="52" t="s">
        <v>73</v>
      </c>
      <c r="D33" s="146"/>
      <c r="E33" s="147"/>
      <c r="F33" s="36"/>
      <c r="G33" s="49" t="s">
        <v>74</v>
      </c>
      <c r="H33" s="139"/>
      <c r="I33" s="137"/>
      <c r="J33" s="137"/>
      <c r="K33" s="137"/>
      <c r="L33" s="124"/>
      <c r="M33" s="116"/>
      <c r="N33" s="132"/>
      <c r="O33" s="132"/>
      <c r="P33" s="132"/>
      <c r="Q33" s="133"/>
      <c r="R33" s="110">
        <f t="shared" si="3"/>
        <v>0</v>
      </c>
      <c r="S33" s="117"/>
      <c r="T33" s="118"/>
      <c r="U33" s="118"/>
      <c r="V33" s="118"/>
      <c r="W33" s="119"/>
      <c r="X33" s="110">
        <f t="shared" si="0"/>
        <v>0</v>
      </c>
      <c r="Y33" s="117"/>
      <c r="Z33" s="118"/>
      <c r="AA33" s="118"/>
      <c r="AB33" s="118"/>
      <c r="AC33" s="119"/>
      <c r="AD33" s="110">
        <f t="shared" si="1"/>
        <v>0</v>
      </c>
      <c r="AE33" s="114">
        <f t="shared" si="4"/>
        <v>0</v>
      </c>
      <c r="AF33" s="115">
        <f t="shared" si="2"/>
        <v>0</v>
      </c>
      <c r="AG33" s="45"/>
      <c r="AH33" s="12"/>
      <c r="AI33" s="12"/>
      <c r="AJ33" s="12"/>
      <c r="AK33" s="12"/>
      <c r="AL33" s="12"/>
      <c r="AM33" s="12"/>
      <c r="AN33" s="11"/>
      <c r="AO33" s="11"/>
      <c r="AP33" s="11" t="e">
        <v>#DIV/0!</v>
      </c>
      <c r="AQ33" s="6"/>
      <c r="AR33" s="6"/>
      <c r="AS33" s="6" t="e">
        <v>#VALUE!</v>
      </c>
      <c r="AT33" s="4"/>
      <c r="AU33" s="8"/>
      <c r="AV33" s="6"/>
      <c r="AW33" s="6"/>
      <c r="AX33" s="7"/>
      <c r="AY33" s="6"/>
      <c r="AZ33" s="6"/>
      <c r="BA33" s="8"/>
      <c r="BB33" s="9"/>
      <c r="BC33" s="7"/>
      <c r="BD33" s="6"/>
      <c r="BE33" s="6"/>
      <c r="BF33" s="4"/>
    </row>
    <row r="34" spans="2:58" ht="19.5" x14ac:dyDescent="0.4">
      <c r="B34" s="103"/>
      <c r="C34" s="52" t="s">
        <v>73</v>
      </c>
      <c r="D34" s="146"/>
      <c r="E34" s="147"/>
      <c r="F34" s="36"/>
      <c r="G34" s="49" t="s">
        <v>74</v>
      </c>
      <c r="H34" s="139"/>
      <c r="I34" s="137"/>
      <c r="J34" s="137"/>
      <c r="K34" s="137"/>
      <c r="L34" s="124"/>
      <c r="M34" s="116"/>
      <c r="N34" s="132"/>
      <c r="O34" s="132"/>
      <c r="P34" s="132"/>
      <c r="Q34" s="133"/>
      <c r="R34" s="110">
        <f t="shared" si="3"/>
        <v>0</v>
      </c>
      <c r="S34" s="117"/>
      <c r="T34" s="118"/>
      <c r="U34" s="118"/>
      <c r="V34" s="118"/>
      <c r="W34" s="119"/>
      <c r="X34" s="110">
        <f t="shared" si="0"/>
        <v>0</v>
      </c>
      <c r="Y34" s="117"/>
      <c r="Z34" s="118"/>
      <c r="AA34" s="118"/>
      <c r="AB34" s="118"/>
      <c r="AC34" s="119"/>
      <c r="AD34" s="110">
        <f t="shared" si="1"/>
        <v>0</v>
      </c>
      <c r="AE34" s="114">
        <f t="shared" si="4"/>
        <v>0</v>
      </c>
      <c r="AF34" s="115">
        <f t="shared" si="2"/>
        <v>0</v>
      </c>
      <c r="AG34" s="45"/>
      <c r="AH34" s="12"/>
      <c r="AI34" s="12"/>
      <c r="AJ34" s="12"/>
      <c r="AK34" s="12"/>
      <c r="AL34" s="12"/>
      <c r="AM34" s="12"/>
      <c r="AN34" s="11"/>
      <c r="AO34" s="11"/>
      <c r="AP34" s="11" t="e">
        <v>#DIV/0!</v>
      </c>
      <c r="AQ34" s="6"/>
      <c r="AR34" s="6"/>
      <c r="AS34" s="6" t="e">
        <v>#VALUE!</v>
      </c>
      <c r="AT34" s="4"/>
      <c r="AU34" s="8"/>
      <c r="AV34" s="6"/>
      <c r="AW34" s="6"/>
      <c r="AX34" s="7"/>
      <c r="AY34" s="6"/>
      <c r="AZ34" s="6"/>
      <c r="BA34" s="8"/>
      <c r="BB34" s="9"/>
      <c r="BC34" s="7"/>
      <c r="BD34" s="6"/>
      <c r="BE34" s="6"/>
      <c r="BF34" s="4"/>
    </row>
    <row r="35" spans="2:58" ht="20.25" thickBot="1" x14ac:dyDescent="0.45">
      <c r="B35" s="104"/>
      <c r="C35" s="65" t="s">
        <v>73</v>
      </c>
      <c r="D35" s="148"/>
      <c r="E35" s="149"/>
      <c r="F35" s="74"/>
      <c r="G35" s="56" t="s">
        <v>74</v>
      </c>
      <c r="H35" s="139"/>
      <c r="I35" s="137"/>
      <c r="J35" s="137"/>
      <c r="K35" s="137"/>
      <c r="L35" s="124"/>
      <c r="M35" s="116"/>
      <c r="N35" s="132"/>
      <c r="O35" s="132"/>
      <c r="P35" s="132"/>
      <c r="Q35" s="133"/>
      <c r="R35" s="110">
        <f t="shared" si="3"/>
        <v>0</v>
      </c>
      <c r="S35" s="117"/>
      <c r="T35" s="118"/>
      <c r="U35" s="118"/>
      <c r="V35" s="118"/>
      <c r="W35" s="119"/>
      <c r="X35" s="110">
        <f t="shared" si="0"/>
        <v>0</v>
      </c>
      <c r="Y35" s="117"/>
      <c r="Z35" s="118"/>
      <c r="AA35" s="118"/>
      <c r="AB35" s="118"/>
      <c r="AC35" s="119"/>
      <c r="AD35" s="110">
        <f t="shared" si="1"/>
        <v>0</v>
      </c>
      <c r="AE35" s="114">
        <f t="shared" si="4"/>
        <v>0</v>
      </c>
      <c r="AF35" s="115">
        <f t="shared" si="2"/>
        <v>0</v>
      </c>
      <c r="AG35" s="45"/>
      <c r="AH35" s="12"/>
      <c r="AI35" s="12"/>
      <c r="AJ35" s="12"/>
      <c r="AK35" s="12"/>
      <c r="AL35" s="12"/>
      <c r="AM35" s="12"/>
      <c r="AN35" s="11"/>
      <c r="AO35" s="11"/>
      <c r="AP35" s="11" t="e">
        <v>#DIV/0!</v>
      </c>
      <c r="AQ35" s="6"/>
      <c r="AR35" s="6"/>
      <c r="AS35" s="6" t="e">
        <v>#VALUE!</v>
      </c>
      <c r="AT35" s="4"/>
      <c r="AU35" s="8"/>
      <c r="AV35" s="6"/>
      <c r="AW35" s="6"/>
      <c r="AX35" s="7"/>
      <c r="AY35" s="6"/>
      <c r="AZ35" s="6"/>
      <c r="BA35" s="8"/>
      <c r="BB35" s="9"/>
      <c r="BC35" s="7"/>
      <c r="BD35" s="6"/>
      <c r="BE35" s="6"/>
      <c r="BF35" s="4"/>
    </row>
    <row r="36" spans="2:58" s="19" customFormat="1" ht="19.5" x14ac:dyDescent="0.4">
      <c r="B36" s="105" t="s">
        <v>106</v>
      </c>
      <c r="C36" s="75" t="s">
        <v>107</v>
      </c>
      <c r="D36" s="66"/>
      <c r="E36" s="67"/>
      <c r="F36" s="68"/>
      <c r="G36" s="69" t="s">
        <v>108</v>
      </c>
      <c r="H36" s="60"/>
      <c r="I36" s="14"/>
      <c r="J36" s="14"/>
      <c r="K36" s="14"/>
      <c r="L36" s="61"/>
      <c r="M36" s="120"/>
      <c r="N36" s="134"/>
      <c r="O36" s="134"/>
      <c r="P36" s="134"/>
      <c r="Q36" s="135"/>
      <c r="R36" s="110">
        <f t="shared" si="3"/>
        <v>0</v>
      </c>
      <c r="S36" s="121"/>
      <c r="T36" s="122"/>
      <c r="U36" s="122"/>
      <c r="V36" s="122"/>
      <c r="W36" s="123"/>
      <c r="X36" s="110">
        <f t="shared" si="0"/>
        <v>0</v>
      </c>
      <c r="Y36" s="121"/>
      <c r="Z36" s="109"/>
      <c r="AA36" s="109"/>
      <c r="AB36" s="112"/>
      <c r="AC36" s="113"/>
      <c r="AD36" s="110">
        <f t="shared" si="1"/>
        <v>0</v>
      </c>
      <c r="AE36" s="114">
        <f t="shared" si="4"/>
        <v>0</v>
      </c>
      <c r="AF36" s="115">
        <f t="shared" si="2"/>
        <v>0</v>
      </c>
      <c r="AG36" s="150"/>
      <c r="AH36" s="151"/>
      <c r="AI36" s="151"/>
      <c r="AJ36" s="151"/>
      <c r="AK36" s="151"/>
      <c r="AL36" s="151"/>
      <c r="AM36" s="151"/>
      <c r="AN36" s="23"/>
      <c r="AO36" s="23"/>
      <c r="AP36" s="23" t="e">
        <v>#DIV/0!</v>
      </c>
      <c r="AQ36" s="14"/>
      <c r="AR36" s="14"/>
      <c r="AS36" s="14" t="e">
        <v>#VALUE!</v>
      </c>
      <c r="AT36" s="26"/>
      <c r="AU36" s="27"/>
      <c r="AV36" s="14"/>
      <c r="AW36" s="14"/>
      <c r="AX36" s="24"/>
      <c r="AY36" s="14"/>
      <c r="AZ36" s="14"/>
      <c r="BA36" s="27"/>
      <c r="BB36" s="25"/>
      <c r="BC36" s="24"/>
      <c r="BD36" s="14"/>
      <c r="BE36" s="14"/>
      <c r="BF36" s="26"/>
    </row>
    <row r="37" spans="2:58" s="19" customFormat="1" ht="19.5" x14ac:dyDescent="0.4">
      <c r="B37" s="106" t="s">
        <v>109</v>
      </c>
      <c r="C37" s="53" t="s">
        <v>107</v>
      </c>
      <c r="D37" s="35"/>
      <c r="E37" s="5"/>
      <c r="F37" s="28"/>
      <c r="G37" s="49" t="s">
        <v>108</v>
      </c>
      <c r="H37" s="60"/>
      <c r="I37" s="14"/>
      <c r="J37" s="14"/>
      <c r="K37" s="14"/>
      <c r="L37" s="61"/>
      <c r="M37" s="120"/>
      <c r="N37" s="134"/>
      <c r="O37" s="134"/>
      <c r="P37" s="134"/>
      <c r="Q37" s="135"/>
      <c r="R37" s="110">
        <f t="shared" si="3"/>
        <v>0</v>
      </c>
      <c r="S37" s="121"/>
      <c r="T37" s="122"/>
      <c r="U37" s="122"/>
      <c r="V37" s="122"/>
      <c r="W37" s="123"/>
      <c r="X37" s="110">
        <f t="shared" si="0"/>
        <v>0</v>
      </c>
      <c r="Y37" s="121"/>
      <c r="Z37" s="122"/>
      <c r="AA37" s="122"/>
      <c r="AB37" s="122"/>
      <c r="AC37" s="123"/>
      <c r="AD37" s="110">
        <f t="shared" si="1"/>
        <v>0</v>
      </c>
      <c r="AE37" s="114">
        <f t="shared" si="4"/>
        <v>0</v>
      </c>
      <c r="AF37" s="115">
        <f t="shared" si="2"/>
        <v>0</v>
      </c>
      <c r="AG37" s="150"/>
      <c r="AH37" s="151"/>
      <c r="AI37" s="151"/>
      <c r="AJ37" s="151"/>
      <c r="AK37" s="151"/>
      <c r="AL37" s="151"/>
      <c r="AM37" s="151"/>
      <c r="AN37" s="23"/>
      <c r="AO37" s="23"/>
      <c r="AP37" s="23"/>
      <c r="AQ37" s="14"/>
      <c r="AR37" s="14"/>
      <c r="AS37" s="14"/>
      <c r="AT37" s="26"/>
      <c r="AU37" s="27"/>
      <c r="AV37" s="14"/>
      <c r="AW37" s="14"/>
      <c r="AX37" s="24"/>
      <c r="AY37" s="14"/>
      <c r="AZ37" s="14"/>
      <c r="BA37" s="27"/>
      <c r="BB37" s="25"/>
      <c r="BC37" s="24"/>
      <c r="BD37" s="14"/>
      <c r="BE37" s="14"/>
      <c r="BF37" s="26"/>
    </row>
    <row r="38" spans="2:58" s="19" customFormat="1" ht="19.5" x14ac:dyDescent="0.4">
      <c r="B38" s="106" t="s">
        <v>110</v>
      </c>
      <c r="C38" s="53" t="s">
        <v>107</v>
      </c>
      <c r="D38" s="35"/>
      <c r="E38" s="5"/>
      <c r="F38" s="28"/>
      <c r="G38" s="49" t="s">
        <v>108</v>
      </c>
      <c r="H38" s="60"/>
      <c r="I38" s="14"/>
      <c r="J38" s="14"/>
      <c r="K38" s="14"/>
      <c r="L38" s="61"/>
      <c r="M38" s="120"/>
      <c r="N38" s="134"/>
      <c r="O38" s="134"/>
      <c r="P38" s="134"/>
      <c r="Q38" s="135"/>
      <c r="R38" s="110">
        <f t="shared" si="3"/>
        <v>0</v>
      </c>
      <c r="S38" s="121"/>
      <c r="T38" s="122"/>
      <c r="U38" s="122"/>
      <c r="V38" s="122"/>
      <c r="W38" s="123"/>
      <c r="X38" s="110">
        <f t="shared" si="0"/>
        <v>0</v>
      </c>
      <c r="Y38" s="121"/>
      <c r="Z38" s="122"/>
      <c r="AA38" s="122"/>
      <c r="AB38" s="122"/>
      <c r="AC38" s="123"/>
      <c r="AD38" s="110">
        <f t="shared" si="1"/>
        <v>0</v>
      </c>
      <c r="AE38" s="114">
        <f t="shared" si="4"/>
        <v>0</v>
      </c>
      <c r="AF38" s="115">
        <f t="shared" si="2"/>
        <v>0</v>
      </c>
      <c r="AG38" s="150"/>
      <c r="AH38" s="151"/>
      <c r="AI38" s="151"/>
      <c r="AJ38" s="151"/>
      <c r="AK38" s="151"/>
      <c r="AL38" s="151"/>
      <c r="AM38" s="151"/>
      <c r="AN38" s="23"/>
      <c r="AO38" s="23"/>
      <c r="AP38" s="23"/>
      <c r="AQ38" s="14"/>
      <c r="AR38" s="14"/>
      <c r="AS38" s="14"/>
      <c r="AT38" s="26"/>
      <c r="AU38" s="27"/>
      <c r="AV38" s="14"/>
      <c r="AW38" s="14"/>
      <c r="AX38" s="24"/>
      <c r="AY38" s="14"/>
      <c r="AZ38" s="14"/>
      <c r="BA38" s="27"/>
      <c r="BB38" s="25"/>
      <c r="BC38" s="24"/>
      <c r="BD38" s="14"/>
      <c r="BE38" s="14"/>
      <c r="BF38" s="26"/>
    </row>
    <row r="39" spans="2:58" s="19" customFormat="1" ht="55.5" customHeight="1" x14ac:dyDescent="0.4">
      <c r="B39" s="107" t="s">
        <v>111</v>
      </c>
      <c r="C39" s="53" t="s">
        <v>107</v>
      </c>
      <c r="D39" s="35"/>
      <c r="E39" s="5"/>
      <c r="F39" s="28"/>
      <c r="G39" s="49" t="s">
        <v>108</v>
      </c>
      <c r="H39" s="60"/>
      <c r="I39" s="14"/>
      <c r="J39" s="14"/>
      <c r="K39" s="14"/>
      <c r="L39" s="61"/>
      <c r="M39" s="120" t="s">
        <v>77</v>
      </c>
      <c r="N39" s="134"/>
      <c r="O39" s="134"/>
      <c r="P39" s="134"/>
      <c r="Q39" s="135"/>
      <c r="R39" s="110">
        <f t="shared" si="3"/>
        <v>0</v>
      </c>
      <c r="S39" s="121" t="s">
        <v>77</v>
      </c>
      <c r="T39" s="122"/>
      <c r="U39" s="122"/>
      <c r="V39" s="122"/>
      <c r="W39" s="123"/>
      <c r="X39" s="110">
        <f t="shared" si="0"/>
        <v>0</v>
      </c>
      <c r="Y39" s="121" t="s">
        <v>77</v>
      </c>
      <c r="Z39" s="122"/>
      <c r="AA39" s="122"/>
      <c r="AB39" s="122"/>
      <c r="AC39" s="123"/>
      <c r="AD39" s="110">
        <f t="shared" si="1"/>
        <v>0</v>
      </c>
      <c r="AE39" s="114">
        <f t="shared" si="4"/>
        <v>0</v>
      </c>
      <c r="AF39" s="115">
        <f t="shared" si="2"/>
        <v>0</v>
      </c>
      <c r="AG39" s="150" t="s">
        <v>112</v>
      </c>
      <c r="AH39" s="151"/>
      <c r="AI39" s="151"/>
      <c r="AJ39" s="151"/>
      <c r="AK39" s="151"/>
      <c r="AL39" s="151"/>
      <c r="AM39" s="151"/>
      <c r="AN39" s="23"/>
      <c r="AO39" s="23"/>
      <c r="AP39" s="23"/>
      <c r="AQ39" s="14"/>
      <c r="AR39" s="14"/>
      <c r="AS39" s="14"/>
      <c r="AT39" s="26"/>
      <c r="AU39" s="27"/>
      <c r="AV39" s="14"/>
      <c r="AW39" s="14"/>
      <c r="AX39" s="24"/>
      <c r="AY39" s="14"/>
      <c r="AZ39" s="14"/>
      <c r="BA39" s="27"/>
      <c r="BB39" s="25"/>
      <c r="BC39" s="24"/>
      <c r="BD39" s="14"/>
      <c r="BE39" s="14"/>
      <c r="BF39" s="26"/>
    </row>
    <row r="40" spans="2:58" s="19" customFormat="1" ht="19.5" x14ac:dyDescent="0.4">
      <c r="B40" s="106" t="s">
        <v>113</v>
      </c>
      <c r="C40" s="53" t="s">
        <v>107</v>
      </c>
      <c r="D40" s="35"/>
      <c r="E40" s="5"/>
      <c r="F40" s="28"/>
      <c r="G40" s="49" t="s">
        <v>108</v>
      </c>
      <c r="H40" s="60"/>
      <c r="I40" s="14"/>
      <c r="J40" s="14"/>
      <c r="K40" s="14"/>
      <c r="L40" s="61"/>
      <c r="M40" s="120"/>
      <c r="N40" s="134"/>
      <c r="O40" s="134"/>
      <c r="P40" s="134"/>
      <c r="Q40" s="135"/>
      <c r="R40" s="110">
        <f t="shared" si="3"/>
        <v>0</v>
      </c>
      <c r="S40" s="121"/>
      <c r="T40" s="122"/>
      <c r="U40" s="122"/>
      <c r="V40" s="122"/>
      <c r="W40" s="123"/>
      <c r="X40" s="110">
        <f t="shared" si="0"/>
        <v>0</v>
      </c>
      <c r="Y40" s="121"/>
      <c r="Z40" s="122"/>
      <c r="AA40" s="122"/>
      <c r="AB40" s="122"/>
      <c r="AC40" s="123"/>
      <c r="AD40" s="110">
        <f t="shared" si="1"/>
        <v>0</v>
      </c>
      <c r="AE40" s="114">
        <f t="shared" si="4"/>
        <v>0</v>
      </c>
      <c r="AF40" s="115">
        <f t="shared" si="2"/>
        <v>0</v>
      </c>
      <c r="AG40" s="150"/>
      <c r="AH40" s="151"/>
      <c r="AI40" s="151"/>
      <c r="AJ40" s="151"/>
      <c r="AK40" s="151"/>
      <c r="AL40" s="151"/>
      <c r="AM40" s="151"/>
      <c r="AN40" s="23"/>
      <c r="AO40" s="23"/>
      <c r="AP40" s="23"/>
      <c r="AQ40" s="14"/>
      <c r="AR40" s="14"/>
      <c r="AS40" s="14"/>
      <c r="AT40" s="26"/>
      <c r="AU40" s="27"/>
      <c r="AV40" s="14"/>
      <c r="AW40" s="14"/>
      <c r="AX40" s="24"/>
      <c r="AY40" s="14"/>
      <c r="AZ40" s="14"/>
      <c r="BA40" s="27"/>
      <c r="BB40" s="25"/>
      <c r="BC40" s="24"/>
      <c r="BD40" s="14"/>
      <c r="BE40" s="14"/>
      <c r="BF40" s="26"/>
    </row>
    <row r="41" spans="2:58" s="19" customFormat="1" ht="19.5" x14ac:dyDescent="0.4">
      <c r="B41" s="106" t="s">
        <v>114</v>
      </c>
      <c r="C41" s="53" t="s">
        <v>107</v>
      </c>
      <c r="D41" s="35"/>
      <c r="E41" s="5"/>
      <c r="F41" s="28"/>
      <c r="G41" s="49" t="s">
        <v>108</v>
      </c>
      <c r="H41" s="60"/>
      <c r="I41" s="14"/>
      <c r="J41" s="14"/>
      <c r="K41" s="14"/>
      <c r="L41" s="61"/>
      <c r="M41" s="120"/>
      <c r="N41" s="134"/>
      <c r="O41" s="134"/>
      <c r="P41" s="134"/>
      <c r="Q41" s="135"/>
      <c r="R41" s="110">
        <f t="shared" si="3"/>
        <v>0</v>
      </c>
      <c r="S41" s="121"/>
      <c r="T41" s="122"/>
      <c r="U41" s="122"/>
      <c r="V41" s="122"/>
      <c r="W41" s="123"/>
      <c r="X41" s="110">
        <f t="shared" si="0"/>
        <v>0</v>
      </c>
      <c r="Y41" s="121"/>
      <c r="Z41" s="122"/>
      <c r="AA41" s="122"/>
      <c r="AB41" s="122"/>
      <c r="AC41" s="123"/>
      <c r="AD41" s="110">
        <f t="shared" si="1"/>
        <v>0</v>
      </c>
      <c r="AE41" s="114">
        <f t="shared" si="4"/>
        <v>0</v>
      </c>
      <c r="AF41" s="115">
        <f t="shared" si="2"/>
        <v>0</v>
      </c>
      <c r="AG41" s="150"/>
      <c r="AH41" s="151"/>
      <c r="AI41" s="151"/>
      <c r="AJ41" s="151"/>
      <c r="AK41" s="151"/>
      <c r="AL41" s="151"/>
      <c r="AM41" s="151"/>
      <c r="AN41" s="23"/>
      <c r="AO41" s="23"/>
      <c r="AP41" s="23" t="e">
        <v>#DIV/0!</v>
      </c>
      <c r="AQ41" s="14"/>
      <c r="AR41" s="14"/>
      <c r="AS41" s="14" t="e">
        <v>#VALUE!</v>
      </c>
      <c r="AT41" s="26"/>
      <c r="AU41" s="27"/>
      <c r="AV41" s="14"/>
      <c r="AW41" s="14"/>
      <c r="AX41" s="24"/>
      <c r="AY41" s="14"/>
      <c r="AZ41" s="14"/>
      <c r="BA41" s="27"/>
      <c r="BB41" s="25"/>
      <c r="BC41" s="24"/>
      <c r="BD41" s="14"/>
      <c r="BE41" s="14"/>
      <c r="BF41" s="26"/>
    </row>
    <row r="42" spans="2:58" s="19" customFormat="1" ht="19.5" x14ac:dyDescent="0.4">
      <c r="B42" s="106" t="s">
        <v>115</v>
      </c>
      <c r="C42" s="53" t="s">
        <v>107</v>
      </c>
      <c r="D42" s="35"/>
      <c r="E42" s="5"/>
      <c r="F42" s="28"/>
      <c r="G42" s="49" t="s">
        <v>108</v>
      </c>
      <c r="H42" s="60"/>
      <c r="I42" s="14"/>
      <c r="J42" s="14"/>
      <c r="K42" s="14"/>
      <c r="L42" s="61"/>
      <c r="M42" s="120"/>
      <c r="N42" s="134"/>
      <c r="O42" s="134"/>
      <c r="P42" s="134"/>
      <c r="Q42" s="135"/>
      <c r="R42" s="110">
        <f t="shared" si="3"/>
        <v>0</v>
      </c>
      <c r="S42" s="121"/>
      <c r="T42" s="122"/>
      <c r="U42" s="122"/>
      <c r="V42" s="122"/>
      <c r="W42" s="123"/>
      <c r="X42" s="110">
        <f t="shared" si="0"/>
        <v>0</v>
      </c>
      <c r="Y42" s="121"/>
      <c r="Z42" s="122"/>
      <c r="AA42" s="122"/>
      <c r="AB42" s="122"/>
      <c r="AC42" s="123"/>
      <c r="AD42" s="110">
        <f t="shared" si="1"/>
        <v>0</v>
      </c>
      <c r="AE42" s="114">
        <f t="shared" si="4"/>
        <v>0</v>
      </c>
      <c r="AF42" s="115">
        <f t="shared" si="2"/>
        <v>0</v>
      </c>
      <c r="AG42" s="150"/>
      <c r="AH42" s="151"/>
      <c r="AI42" s="151"/>
      <c r="AJ42" s="151"/>
      <c r="AK42" s="151"/>
      <c r="AL42" s="151"/>
      <c r="AM42" s="151"/>
      <c r="AN42" s="23"/>
      <c r="AO42" s="23"/>
      <c r="AP42" s="23" t="e">
        <v>#DIV/0!</v>
      </c>
      <c r="AQ42" s="14"/>
      <c r="AR42" s="14"/>
      <c r="AS42" s="14" t="e">
        <v>#VALUE!</v>
      </c>
      <c r="AT42" s="26"/>
      <c r="AU42" s="27"/>
      <c r="AV42" s="14"/>
      <c r="AW42" s="14"/>
      <c r="AX42" s="24"/>
      <c r="AY42" s="14"/>
      <c r="AZ42" s="14"/>
      <c r="BA42" s="27"/>
      <c r="BB42" s="25"/>
      <c r="BC42" s="24"/>
      <c r="BD42" s="14"/>
      <c r="BE42" s="14"/>
      <c r="BF42" s="26"/>
    </row>
    <row r="43" spans="2:58" s="19" customFormat="1" ht="19.5" x14ac:dyDescent="0.4">
      <c r="B43" s="106" t="s">
        <v>116</v>
      </c>
      <c r="C43" s="53" t="s">
        <v>107</v>
      </c>
      <c r="D43" s="35"/>
      <c r="E43" s="5"/>
      <c r="F43" s="28"/>
      <c r="G43" s="49" t="s">
        <v>108</v>
      </c>
      <c r="H43" s="60"/>
      <c r="I43" s="14"/>
      <c r="J43" s="14"/>
      <c r="K43" s="14"/>
      <c r="L43" s="61"/>
      <c r="M43" s="120"/>
      <c r="N43" s="134"/>
      <c r="O43" s="134"/>
      <c r="P43" s="134"/>
      <c r="Q43" s="135"/>
      <c r="R43" s="110">
        <f t="shared" si="3"/>
        <v>0</v>
      </c>
      <c r="S43" s="121"/>
      <c r="T43" s="122"/>
      <c r="U43" s="122"/>
      <c r="V43" s="122"/>
      <c r="W43" s="123"/>
      <c r="X43" s="110">
        <f t="shared" si="0"/>
        <v>0</v>
      </c>
      <c r="Y43" s="121"/>
      <c r="Z43" s="122"/>
      <c r="AA43" s="122"/>
      <c r="AB43" s="122"/>
      <c r="AC43" s="123"/>
      <c r="AD43" s="110">
        <f t="shared" si="1"/>
        <v>0</v>
      </c>
      <c r="AE43" s="114">
        <f t="shared" si="4"/>
        <v>0</v>
      </c>
      <c r="AF43" s="115">
        <f t="shared" si="2"/>
        <v>0</v>
      </c>
      <c r="AG43" s="150"/>
      <c r="AH43" s="151"/>
      <c r="AI43" s="151"/>
      <c r="AJ43" s="151"/>
      <c r="AK43" s="151"/>
      <c r="AL43" s="151"/>
      <c r="AM43" s="151"/>
      <c r="AN43" s="23"/>
      <c r="AO43" s="23"/>
      <c r="AP43" s="23" t="e">
        <v>#DIV/0!</v>
      </c>
      <c r="AQ43" s="14"/>
      <c r="AR43" s="14"/>
      <c r="AS43" s="14" t="e">
        <v>#VALUE!</v>
      </c>
      <c r="AT43" s="26"/>
      <c r="AU43" s="27"/>
      <c r="AV43" s="14"/>
      <c r="AW43" s="14"/>
      <c r="AX43" s="24"/>
      <c r="AY43" s="14"/>
      <c r="AZ43" s="14"/>
      <c r="BA43" s="27"/>
      <c r="BB43" s="25"/>
      <c r="BC43" s="24"/>
      <c r="BD43" s="14"/>
      <c r="BE43" s="14"/>
      <c r="BF43" s="26"/>
    </row>
    <row r="44" spans="2:58" s="19" customFormat="1" ht="19.5" x14ac:dyDescent="0.4">
      <c r="B44" s="106" t="s">
        <v>117</v>
      </c>
      <c r="C44" s="53" t="s">
        <v>107</v>
      </c>
      <c r="D44" s="35"/>
      <c r="E44" s="5"/>
      <c r="F44" s="28"/>
      <c r="G44" s="49" t="s">
        <v>108</v>
      </c>
      <c r="H44" s="60"/>
      <c r="I44" s="14"/>
      <c r="J44" s="14"/>
      <c r="K44" s="14"/>
      <c r="L44" s="61"/>
      <c r="M44" s="120"/>
      <c r="N44" s="134"/>
      <c r="O44" s="134"/>
      <c r="P44" s="134"/>
      <c r="Q44" s="135"/>
      <c r="R44" s="110">
        <f t="shared" si="3"/>
        <v>0</v>
      </c>
      <c r="S44" s="121"/>
      <c r="T44" s="122"/>
      <c r="U44" s="122"/>
      <c r="V44" s="122"/>
      <c r="W44" s="123"/>
      <c r="X44" s="110">
        <f t="shared" si="0"/>
        <v>0</v>
      </c>
      <c r="Y44" s="121"/>
      <c r="Z44" s="122"/>
      <c r="AA44" s="122"/>
      <c r="AB44" s="122"/>
      <c r="AC44" s="123"/>
      <c r="AD44" s="110">
        <f t="shared" si="1"/>
        <v>0</v>
      </c>
      <c r="AE44" s="114">
        <f t="shared" si="4"/>
        <v>0</v>
      </c>
      <c r="AF44" s="115">
        <f t="shared" si="2"/>
        <v>0</v>
      </c>
      <c r="AG44" s="150"/>
      <c r="AH44" s="151"/>
      <c r="AI44" s="151"/>
      <c r="AJ44" s="151"/>
      <c r="AK44" s="151"/>
      <c r="AL44" s="151"/>
      <c r="AM44" s="151"/>
      <c r="AN44" s="23"/>
      <c r="AO44" s="23"/>
      <c r="AP44" s="23" t="e">
        <v>#DIV/0!</v>
      </c>
      <c r="AQ44" s="14"/>
      <c r="AR44" s="14"/>
      <c r="AS44" s="14" t="e">
        <v>#VALUE!</v>
      </c>
      <c r="AT44" s="26"/>
      <c r="AU44" s="27"/>
      <c r="AV44" s="14"/>
      <c r="AW44" s="14"/>
      <c r="AX44" s="24"/>
      <c r="AY44" s="14"/>
      <c r="AZ44" s="14"/>
      <c r="BA44" s="27"/>
      <c r="BB44" s="25"/>
      <c r="BC44" s="24"/>
      <c r="BD44" s="14"/>
      <c r="BE44" s="14"/>
      <c r="BF44" s="26"/>
    </row>
    <row r="45" spans="2:58" s="19" customFormat="1" ht="19.5" x14ac:dyDescent="0.4">
      <c r="B45" s="107" t="s">
        <v>118</v>
      </c>
      <c r="C45" s="53" t="s">
        <v>107</v>
      </c>
      <c r="D45" s="35"/>
      <c r="E45" s="5"/>
      <c r="F45" s="28"/>
      <c r="G45" s="49" t="s">
        <v>108</v>
      </c>
      <c r="H45" s="60"/>
      <c r="I45" s="14"/>
      <c r="J45" s="14"/>
      <c r="K45" s="14"/>
      <c r="L45" s="61"/>
      <c r="M45" s="120"/>
      <c r="N45" s="134"/>
      <c r="O45" s="134"/>
      <c r="P45" s="134"/>
      <c r="Q45" s="135"/>
      <c r="R45" s="110">
        <f t="shared" si="3"/>
        <v>0</v>
      </c>
      <c r="S45" s="121"/>
      <c r="T45" s="109"/>
      <c r="U45" s="109"/>
      <c r="V45" s="112"/>
      <c r="W45" s="113"/>
      <c r="X45" s="110">
        <f t="shared" si="0"/>
        <v>0</v>
      </c>
      <c r="Y45" s="121"/>
      <c r="Z45" s="122"/>
      <c r="AA45" s="122"/>
      <c r="AB45" s="122"/>
      <c r="AC45" s="123"/>
      <c r="AD45" s="110">
        <f t="shared" si="1"/>
        <v>0</v>
      </c>
      <c r="AE45" s="114">
        <f t="shared" si="4"/>
        <v>0</v>
      </c>
      <c r="AF45" s="115">
        <f t="shared" si="2"/>
        <v>0</v>
      </c>
      <c r="AG45" s="150"/>
      <c r="AH45" s="151"/>
      <c r="AI45" s="151"/>
      <c r="AJ45" s="151"/>
      <c r="AK45" s="151"/>
      <c r="AL45" s="151"/>
      <c r="AM45" s="151"/>
      <c r="AN45" s="23"/>
      <c r="AO45" s="23"/>
      <c r="AP45" s="23" t="e">
        <v>#DIV/0!</v>
      </c>
      <c r="AQ45" s="14"/>
      <c r="AR45" s="14"/>
      <c r="AS45" s="14" t="e">
        <v>#VALUE!</v>
      </c>
      <c r="AT45" s="26"/>
      <c r="AU45" s="27"/>
      <c r="AV45" s="14"/>
      <c r="AW45" s="14"/>
      <c r="AX45" s="24"/>
      <c r="AY45" s="14"/>
      <c r="AZ45" s="14"/>
      <c r="BA45" s="27"/>
      <c r="BB45" s="25"/>
      <c r="BC45" s="24"/>
      <c r="BD45" s="14"/>
      <c r="BE45" s="14"/>
      <c r="BF45" s="26"/>
    </row>
    <row r="46" spans="2:58" s="19" customFormat="1" ht="19.5" x14ac:dyDescent="0.25">
      <c r="B46" s="100" t="s">
        <v>119</v>
      </c>
      <c r="C46" s="53" t="s">
        <v>107</v>
      </c>
      <c r="D46" s="35"/>
      <c r="E46" s="5"/>
      <c r="F46" s="28"/>
      <c r="G46" s="49" t="s">
        <v>108</v>
      </c>
      <c r="H46" s="60"/>
      <c r="I46" s="14"/>
      <c r="J46" s="14"/>
      <c r="K46" s="14"/>
      <c r="L46" s="61"/>
      <c r="M46" s="120"/>
      <c r="N46" s="134"/>
      <c r="O46" s="134"/>
      <c r="P46" s="134"/>
      <c r="Q46" s="135"/>
      <c r="R46" s="110">
        <f t="shared" si="3"/>
        <v>0</v>
      </c>
      <c r="S46" s="121"/>
      <c r="T46" s="122"/>
      <c r="U46" s="122"/>
      <c r="V46" s="122"/>
      <c r="W46" s="123"/>
      <c r="X46" s="110">
        <f t="shared" si="0"/>
        <v>0</v>
      </c>
      <c r="Y46" s="121"/>
      <c r="Z46" s="122"/>
      <c r="AA46" s="122"/>
      <c r="AB46" s="122"/>
      <c r="AC46" s="123"/>
      <c r="AD46" s="110">
        <f t="shared" si="1"/>
        <v>0</v>
      </c>
      <c r="AE46" s="114">
        <f t="shared" si="4"/>
        <v>0</v>
      </c>
      <c r="AF46" s="115">
        <f t="shared" si="2"/>
        <v>0</v>
      </c>
      <c r="AG46" s="150"/>
      <c r="AH46" s="151"/>
      <c r="AI46" s="151"/>
      <c r="AJ46" s="151"/>
      <c r="AK46" s="151"/>
      <c r="AL46" s="151"/>
      <c r="AM46" s="151"/>
      <c r="AN46" s="23"/>
      <c r="AO46" s="23"/>
      <c r="AP46" s="23" t="e">
        <v>#DIV/0!</v>
      </c>
      <c r="AQ46" s="14"/>
      <c r="AR46" s="14"/>
      <c r="AS46" s="14" t="e">
        <v>#VALUE!</v>
      </c>
      <c r="AT46" s="26"/>
      <c r="AU46" s="27"/>
      <c r="AV46" s="14"/>
      <c r="AW46" s="14"/>
      <c r="AX46" s="24"/>
      <c r="AY46" s="14"/>
      <c r="AZ46" s="14"/>
      <c r="BA46" s="27"/>
      <c r="BB46" s="25"/>
      <c r="BC46" s="24"/>
      <c r="BD46" s="14"/>
      <c r="BE46" s="14"/>
      <c r="BF46" s="26"/>
    </row>
    <row r="47" spans="2:58" s="19" customFormat="1" ht="19.5" x14ac:dyDescent="0.25">
      <c r="B47" s="100" t="s">
        <v>120</v>
      </c>
      <c r="C47" s="53" t="s">
        <v>107</v>
      </c>
      <c r="D47" s="35"/>
      <c r="E47" s="5"/>
      <c r="F47" s="28"/>
      <c r="G47" s="49" t="s">
        <v>108</v>
      </c>
      <c r="H47" s="60"/>
      <c r="I47" s="14"/>
      <c r="J47" s="14"/>
      <c r="K47" s="14"/>
      <c r="L47" s="61"/>
      <c r="M47" s="120"/>
      <c r="N47" s="134"/>
      <c r="O47" s="134"/>
      <c r="P47" s="134"/>
      <c r="Q47" s="135"/>
      <c r="R47" s="110">
        <f t="shared" si="3"/>
        <v>0</v>
      </c>
      <c r="S47" s="121"/>
      <c r="T47" s="122"/>
      <c r="U47" s="122"/>
      <c r="V47" s="122"/>
      <c r="W47" s="123"/>
      <c r="X47" s="110">
        <f t="shared" si="0"/>
        <v>0</v>
      </c>
      <c r="Y47" s="121"/>
      <c r="Z47" s="122"/>
      <c r="AA47" s="122"/>
      <c r="AB47" s="122"/>
      <c r="AC47" s="123"/>
      <c r="AD47" s="110">
        <f t="shared" si="1"/>
        <v>0</v>
      </c>
      <c r="AE47" s="114">
        <f t="shared" si="4"/>
        <v>0</v>
      </c>
      <c r="AF47" s="115">
        <f t="shared" si="2"/>
        <v>0</v>
      </c>
      <c r="AG47" s="150"/>
      <c r="AH47" s="151"/>
      <c r="AI47" s="151"/>
      <c r="AJ47" s="151"/>
      <c r="AK47" s="151"/>
      <c r="AL47" s="151"/>
      <c r="AM47" s="151"/>
      <c r="AN47" s="23"/>
      <c r="AO47" s="23"/>
      <c r="AP47" s="23" t="e">
        <v>#DIV/0!</v>
      </c>
      <c r="AQ47" s="14"/>
      <c r="AR47" s="14"/>
      <c r="AS47" s="14" t="e">
        <v>#VALUE!</v>
      </c>
      <c r="AT47" s="26"/>
      <c r="AU47" s="27"/>
      <c r="AV47" s="14"/>
      <c r="AW47" s="14"/>
      <c r="AX47" s="24"/>
      <c r="AY47" s="14"/>
      <c r="AZ47" s="14"/>
      <c r="BA47" s="27"/>
      <c r="BB47" s="25"/>
      <c r="BC47" s="24"/>
      <c r="BD47" s="14"/>
      <c r="BE47" s="14"/>
      <c r="BF47" s="26"/>
    </row>
    <row r="48" spans="2:58" s="19" customFormat="1" ht="19.5" x14ac:dyDescent="0.25">
      <c r="B48" s="100" t="s">
        <v>121</v>
      </c>
      <c r="C48" s="53" t="s">
        <v>107</v>
      </c>
      <c r="D48" s="35"/>
      <c r="E48" s="5"/>
      <c r="F48" s="28"/>
      <c r="G48" s="49" t="s">
        <v>108</v>
      </c>
      <c r="H48" s="60"/>
      <c r="I48" s="14"/>
      <c r="J48" s="14"/>
      <c r="K48" s="14"/>
      <c r="L48" s="61"/>
      <c r="M48" s="120"/>
      <c r="N48" s="134"/>
      <c r="O48" s="134"/>
      <c r="P48" s="134"/>
      <c r="Q48" s="135"/>
      <c r="R48" s="110">
        <f t="shared" si="3"/>
        <v>0</v>
      </c>
      <c r="S48" s="121"/>
      <c r="T48" s="122"/>
      <c r="U48" s="122"/>
      <c r="V48" s="122"/>
      <c r="W48" s="123"/>
      <c r="X48" s="110">
        <f t="shared" si="0"/>
        <v>0</v>
      </c>
      <c r="Y48" s="121"/>
      <c r="Z48" s="122"/>
      <c r="AA48" s="122"/>
      <c r="AB48" s="122"/>
      <c r="AC48" s="123"/>
      <c r="AD48" s="110">
        <f t="shared" si="1"/>
        <v>0</v>
      </c>
      <c r="AE48" s="114">
        <f t="shared" si="4"/>
        <v>0</v>
      </c>
      <c r="AF48" s="115">
        <f t="shared" si="2"/>
        <v>0</v>
      </c>
      <c r="AG48" s="150"/>
      <c r="AH48" s="151"/>
      <c r="AI48" s="151"/>
      <c r="AJ48" s="151"/>
      <c r="AK48" s="151"/>
      <c r="AL48" s="151"/>
      <c r="AM48" s="151"/>
      <c r="AN48" s="23"/>
      <c r="AO48" s="23"/>
      <c r="AP48" s="23" t="e">
        <v>#DIV/0!</v>
      </c>
      <c r="AQ48" s="14"/>
      <c r="AR48" s="14"/>
      <c r="AS48" s="14" t="e">
        <v>#VALUE!</v>
      </c>
      <c r="AT48" s="26"/>
      <c r="AU48" s="27"/>
      <c r="AV48" s="14"/>
      <c r="AW48" s="14"/>
      <c r="AX48" s="24"/>
      <c r="AY48" s="14"/>
      <c r="AZ48" s="14"/>
      <c r="BA48" s="27"/>
      <c r="BB48" s="25"/>
      <c r="BC48" s="24"/>
      <c r="BD48" s="14"/>
      <c r="BE48" s="14"/>
      <c r="BF48" s="26"/>
    </row>
    <row r="49" spans="2:58" s="19" customFormat="1" ht="19.5" x14ac:dyDescent="0.25">
      <c r="B49" s="100" t="s">
        <v>122</v>
      </c>
      <c r="C49" s="53" t="s">
        <v>107</v>
      </c>
      <c r="D49" s="35"/>
      <c r="E49" s="5"/>
      <c r="F49" s="28"/>
      <c r="G49" s="49" t="s">
        <v>108</v>
      </c>
      <c r="H49" s="60"/>
      <c r="I49" s="22"/>
      <c r="J49" s="22"/>
      <c r="K49" s="14"/>
      <c r="L49" s="61"/>
      <c r="M49" s="120"/>
      <c r="N49" s="134"/>
      <c r="O49" s="134"/>
      <c r="P49" s="134"/>
      <c r="Q49" s="135"/>
      <c r="R49" s="110">
        <f t="shared" si="3"/>
        <v>0</v>
      </c>
      <c r="S49" s="121"/>
      <c r="T49" s="122"/>
      <c r="U49" s="122"/>
      <c r="V49" s="122"/>
      <c r="W49" s="123"/>
      <c r="X49" s="110">
        <f t="shared" si="0"/>
        <v>0</v>
      </c>
      <c r="Y49" s="121"/>
      <c r="Z49" s="122"/>
      <c r="AA49" s="122"/>
      <c r="AB49" s="122"/>
      <c r="AC49" s="123"/>
      <c r="AD49" s="110">
        <f t="shared" si="1"/>
        <v>0</v>
      </c>
      <c r="AE49" s="114">
        <f t="shared" si="4"/>
        <v>0</v>
      </c>
      <c r="AF49" s="115">
        <f t="shared" si="2"/>
        <v>0</v>
      </c>
      <c r="AG49" s="150"/>
      <c r="AH49" s="151"/>
      <c r="AI49" s="151"/>
      <c r="AJ49" s="151"/>
      <c r="AK49" s="151"/>
      <c r="AL49" s="151"/>
      <c r="AM49" s="151"/>
      <c r="AN49" s="23"/>
      <c r="AO49" s="23"/>
      <c r="AP49" s="23" t="e">
        <v>#DIV/0!</v>
      </c>
      <c r="AQ49" s="14"/>
      <c r="AR49" s="14"/>
      <c r="AS49" s="14" t="e">
        <v>#VALUE!</v>
      </c>
      <c r="AT49" s="26"/>
      <c r="AU49" s="27"/>
      <c r="AV49" s="14"/>
      <c r="AW49" s="14"/>
      <c r="AX49" s="24"/>
      <c r="AY49" s="14"/>
      <c r="AZ49" s="14"/>
      <c r="BA49" s="27"/>
      <c r="BB49" s="25"/>
      <c r="BC49" s="24"/>
      <c r="BD49" s="14"/>
      <c r="BE49" s="14"/>
      <c r="BF49" s="26"/>
    </row>
    <row r="50" spans="2:58" s="19" customFormat="1" ht="20.25" thickBot="1" x14ac:dyDescent="0.3">
      <c r="B50" s="101"/>
      <c r="C50" s="154" t="s">
        <v>107</v>
      </c>
      <c r="D50" s="70"/>
      <c r="E50" s="71"/>
      <c r="F50" s="72"/>
      <c r="G50" s="152" t="s">
        <v>108</v>
      </c>
      <c r="H50" s="155"/>
      <c r="I50" s="156"/>
      <c r="J50" s="156"/>
      <c r="K50" s="156"/>
      <c r="L50" s="157"/>
      <c r="M50" s="159"/>
      <c r="N50" s="160"/>
      <c r="O50" s="160"/>
      <c r="P50" s="160"/>
      <c r="Q50" s="161"/>
      <c r="R50" s="162">
        <f t="shared" si="3"/>
        <v>0</v>
      </c>
      <c r="S50" s="163"/>
      <c r="T50" s="164"/>
      <c r="U50" s="164"/>
      <c r="V50" s="164"/>
      <c r="W50" s="165"/>
      <c r="X50" s="162">
        <f t="shared" si="0"/>
        <v>0</v>
      </c>
      <c r="Y50" s="163"/>
      <c r="Z50" s="164"/>
      <c r="AA50" s="164"/>
      <c r="AB50" s="164"/>
      <c r="AC50" s="165"/>
      <c r="AD50" s="162">
        <f t="shared" si="1"/>
        <v>0</v>
      </c>
      <c r="AE50" s="166">
        <f t="shared" si="4"/>
        <v>0</v>
      </c>
      <c r="AF50" s="167">
        <f t="shared" si="2"/>
        <v>0</v>
      </c>
      <c r="AG50" s="150"/>
      <c r="AH50" s="151"/>
      <c r="AI50" s="151"/>
      <c r="AJ50" s="151"/>
      <c r="AK50" s="151"/>
      <c r="AL50" s="151"/>
      <c r="AM50" s="151"/>
      <c r="AN50" s="23"/>
      <c r="AO50" s="23"/>
      <c r="AP50" s="23" t="e">
        <v>#DIV/0!</v>
      </c>
      <c r="AQ50" s="14"/>
      <c r="AR50" s="14"/>
      <c r="AS50" s="14" t="e">
        <v>#VALUE!</v>
      </c>
      <c r="AT50" s="26"/>
      <c r="AU50" s="27"/>
      <c r="AV50" s="14"/>
      <c r="AW50" s="14"/>
      <c r="AX50" s="24"/>
      <c r="AY50" s="14"/>
      <c r="AZ50" s="14"/>
      <c r="BA50" s="27"/>
      <c r="BB50" s="25"/>
      <c r="BC50" s="24"/>
      <c r="BD50" s="14"/>
      <c r="BE50" s="14"/>
      <c r="BF50" s="26"/>
    </row>
    <row r="51" spans="2:58" ht="47.25" x14ac:dyDescent="0.25">
      <c r="B51" s="95" t="s">
        <v>56</v>
      </c>
      <c r="C51" s="14" t="s">
        <v>57</v>
      </c>
      <c r="G51" s="5" t="s">
        <v>124</v>
      </c>
      <c r="H51" s="58"/>
      <c r="I51" s="158" t="s">
        <v>125</v>
      </c>
      <c r="J51" s="158" t="s">
        <v>127</v>
      </c>
      <c r="K51" s="14"/>
      <c r="L51" s="124"/>
      <c r="M51" s="108" t="s">
        <v>77</v>
      </c>
      <c r="N51" s="128">
        <v>4</v>
      </c>
      <c r="O51" s="128">
        <v>3</v>
      </c>
      <c r="P51" s="128">
        <v>4</v>
      </c>
      <c r="Q51" s="129">
        <v>4</v>
      </c>
      <c r="R51" s="110">
        <f>+IF(M51="oui",(N51+O51+P51+Q51),((N51+O51+P51+Q51)/2))</f>
        <v>15</v>
      </c>
      <c r="S51" s="111" t="s">
        <v>77</v>
      </c>
      <c r="T51" s="109">
        <v>3</v>
      </c>
      <c r="U51" s="109">
        <v>3</v>
      </c>
      <c r="V51" s="112">
        <v>4</v>
      </c>
      <c r="W51" s="113">
        <v>4</v>
      </c>
      <c r="X51" s="110">
        <f t="shared" si="0"/>
        <v>14</v>
      </c>
      <c r="Y51" s="111" t="s">
        <v>77</v>
      </c>
      <c r="Z51" s="109">
        <v>2</v>
      </c>
      <c r="AA51" s="109">
        <v>3</v>
      </c>
      <c r="AB51" s="112">
        <v>4</v>
      </c>
      <c r="AC51" s="113">
        <v>4</v>
      </c>
      <c r="AD51" s="110">
        <f t="shared" si="1"/>
        <v>13</v>
      </c>
      <c r="AE51" s="114">
        <f>+AD51+X51+R51+K51</f>
        <v>42</v>
      </c>
      <c r="AF51" s="115">
        <f t="shared" si="2"/>
        <v>14</v>
      </c>
    </row>
    <row r="52" spans="2:58" ht="31.5" x14ac:dyDescent="0.25">
      <c r="B52" s="96" t="s">
        <v>59</v>
      </c>
      <c r="C52" s="14" t="s">
        <v>57</v>
      </c>
      <c r="G52" s="5" t="s">
        <v>124</v>
      </c>
      <c r="H52" s="59"/>
      <c r="I52" s="158" t="s">
        <v>126</v>
      </c>
      <c r="J52" s="158" t="s">
        <v>128</v>
      </c>
      <c r="K52" s="14"/>
      <c r="L52" s="124"/>
      <c r="M52" s="108" t="s">
        <v>77</v>
      </c>
      <c r="N52" s="130">
        <v>4</v>
      </c>
      <c r="O52" s="130">
        <v>3</v>
      </c>
      <c r="P52" s="130">
        <v>4</v>
      </c>
      <c r="Q52" s="131">
        <v>3</v>
      </c>
      <c r="R52" s="110">
        <f t="shared" ref="R52:R64" si="5">+IF(M52="oui",(N52+O52+P52+Q52),((N52+O52+P52+Q52)/2))</f>
        <v>14</v>
      </c>
      <c r="S52" s="111" t="s">
        <v>77</v>
      </c>
      <c r="T52" s="118">
        <v>3</v>
      </c>
      <c r="U52" s="118">
        <v>2</v>
      </c>
      <c r="V52" s="118">
        <v>3</v>
      </c>
      <c r="W52" s="119">
        <v>3</v>
      </c>
      <c r="X52" s="110">
        <f t="shared" si="0"/>
        <v>11</v>
      </c>
      <c r="Y52" s="111" t="s">
        <v>77</v>
      </c>
      <c r="Z52" s="118">
        <v>4</v>
      </c>
      <c r="AA52" s="118">
        <v>3</v>
      </c>
      <c r="AB52" s="118">
        <v>4</v>
      </c>
      <c r="AC52" s="119">
        <v>3</v>
      </c>
      <c r="AD52" s="110">
        <f t="shared" si="1"/>
        <v>14</v>
      </c>
      <c r="AE52" s="114">
        <f t="shared" ref="AE52:AE64" si="6">+AD52+X52+R52+K52</f>
        <v>39</v>
      </c>
      <c r="AF52" s="115">
        <f t="shared" si="2"/>
        <v>13</v>
      </c>
    </row>
    <row r="53" spans="2:58" ht="31.5" x14ac:dyDescent="0.25">
      <c r="B53" s="96" t="s">
        <v>60</v>
      </c>
      <c r="C53" s="14" t="s">
        <v>57</v>
      </c>
      <c r="G53" s="5" t="s">
        <v>124</v>
      </c>
      <c r="H53" s="59"/>
      <c r="I53" s="158" t="s">
        <v>129</v>
      </c>
      <c r="J53" s="158" t="s">
        <v>130</v>
      </c>
      <c r="K53" s="14"/>
      <c r="L53" s="124"/>
      <c r="M53" s="108" t="s">
        <v>77</v>
      </c>
      <c r="N53" s="132">
        <v>4</v>
      </c>
      <c r="O53" s="132">
        <v>4</v>
      </c>
      <c r="P53" s="132">
        <v>5</v>
      </c>
      <c r="Q53" s="133">
        <v>4</v>
      </c>
      <c r="R53" s="110">
        <f t="shared" si="5"/>
        <v>17</v>
      </c>
      <c r="S53" s="111" t="s">
        <v>77</v>
      </c>
      <c r="T53" s="118">
        <v>3</v>
      </c>
      <c r="U53" s="118">
        <v>4</v>
      </c>
      <c r="V53" s="118">
        <v>4</v>
      </c>
      <c r="W53" s="119">
        <v>4</v>
      </c>
      <c r="X53" s="110">
        <f t="shared" si="0"/>
        <v>15</v>
      </c>
      <c r="Y53" s="111" t="s">
        <v>77</v>
      </c>
      <c r="Z53" s="118">
        <v>4</v>
      </c>
      <c r="AA53" s="118">
        <v>3</v>
      </c>
      <c r="AB53" s="118">
        <v>4</v>
      </c>
      <c r="AC53" s="119">
        <v>4</v>
      </c>
      <c r="AD53" s="110">
        <f t="shared" si="1"/>
        <v>15</v>
      </c>
      <c r="AE53" s="114">
        <f t="shared" si="6"/>
        <v>47</v>
      </c>
      <c r="AF53" s="115">
        <f t="shared" si="2"/>
        <v>15.666666666666666</v>
      </c>
    </row>
    <row r="54" spans="2:58" ht="19.5" x14ac:dyDescent="0.25">
      <c r="B54" s="96" t="s">
        <v>61</v>
      </c>
      <c r="C54" s="14" t="s">
        <v>57</v>
      </c>
      <c r="G54" s="5" t="s">
        <v>124</v>
      </c>
      <c r="H54" s="59"/>
      <c r="I54" s="158" t="s">
        <v>131</v>
      </c>
      <c r="J54" s="158" t="s">
        <v>132</v>
      </c>
      <c r="K54" s="14"/>
      <c r="L54" s="124"/>
      <c r="M54" s="108" t="s">
        <v>77</v>
      </c>
      <c r="N54" s="132">
        <v>3</v>
      </c>
      <c r="O54" s="132">
        <v>3</v>
      </c>
      <c r="P54" s="132">
        <v>4</v>
      </c>
      <c r="Q54" s="133">
        <v>2</v>
      </c>
      <c r="R54" s="110">
        <f t="shared" si="5"/>
        <v>12</v>
      </c>
      <c r="S54" s="111" t="s">
        <v>77</v>
      </c>
      <c r="T54" s="118">
        <v>3</v>
      </c>
      <c r="U54" s="118">
        <v>3</v>
      </c>
      <c r="V54" s="118">
        <v>3</v>
      </c>
      <c r="W54" s="119">
        <v>2</v>
      </c>
      <c r="X54" s="110">
        <f t="shared" si="0"/>
        <v>11</v>
      </c>
      <c r="Y54" s="111" t="s">
        <v>77</v>
      </c>
      <c r="Z54" s="118">
        <v>2</v>
      </c>
      <c r="AA54" s="118">
        <v>2</v>
      </c>
      <c r="AB54" s="118">
        <v>3</v>
      </c>
      <c r="AC54" s="119">
        <v>3</v>
      </c>
      <c r="AD54" s="110">
        <f t="shared" si="1"/>
        <v>10</v>
      </c>
      <c r="AE54" s="114">
        <f t="shared" si="6"/>
        <v>33</v>
      </c>
      <c r="AF54" s="115">
        <f t="shared" si="2"/>
        <v>11</v>
      </c>
    </row>
    <row r="55" spans="2:58" ht="31.5" x14ac:dyDescent="0.25">
      <c r="B55" s="96" t="s">
        <v>62</v>
      </c>
      <c r="C55" s="14" t="s">
        <v>57</v>
      </c>
      <c r="G55" s="5" t="s">
        <v>124</v>
      </c>
      <c r="H55" s="59"/>
      <c r="I55" s="158" t="s">
        <v>133</v>
      </c>
      <c r="J55" s="158" t="s">
        <v>134</v>
      </c>
      <c r="K55" s="14"/>
      <c r="L55" s="124"/>
      <c r="M55" s="108" t="s">
        <v>77</v>
      </c>
      <c r="N55" s="132">
        <v>3</v>
      </c>
      <c r="O55" s="132">
        <v>3</v>
      </c>
      <c r="P55" s="132">
        <v>4</v>
      </c>
      <c r="Q55" s="133">
        <v>2</v>
      </c>
      <c r="R55" s="110">
        <f t="shared" si="5"/>
        <v>12</v>
      </c>
      <c r="S55" s="111" t="s">
        <v>77</v>
      </c>
      <c r="T55" s="118">
        <v>2</v>
      </c>
      <c r="U55" s="118">
        <v>3</v>
      </c>
      <c r="V55" s="118">
        <v>4</v>
      </c>
      <c r="W55" s="119">
        <v>4</v>
      </c>
      <c r="X55" s="110">
        <f t="shared" si="0"/>
        <v>13</v>
      </c>
      <c r="Y55" s="111" t="s">
        <v>77</v>
      </c>
      <c r="Z55" s="118">
        <v>2</v>
      </c>
      <c r="AA55" s="118">
        <v>4</v>
      </c>
      <c r="AB55" s="118">
        <v>4</v>
      </c>
      <c r="AC55" s="119">
        <v>3</v>
      </c>
      <c r="AD55" s="110">
        <f t="shared" si="1"/>
        <v>13</v>
      </c>
      <c r="AE55" s="114">
        <f t="shared" si="6"/>
        <v>38</v>
      </c>
      <c r="AF55" s="115">
        <f t="shared" si="2"/>
        <v>12.666666666666666</v>
      </c>
    </row>
    <row r="56" spans="2:58" ht="78.75" x14ac:dyDescent="0.25">
      <c r="B56" s="96" t="s">
        <v>63</v>
      </c>
      <c r="C56" s="14" t="s">
        <v>57</v>
      </c>
      <c r="G56" s="5" t="s">
        <v>124</v>
      </c>
      <c r="H56" s="59"/>
      <c r="I56" s="158" t="s">
        <v>135</v>
      </c>
      <c r="J56" s="158" t="s">
        <v>136</v>
      </c>
      <c r="K56" s="14"/>
      <c r="L56" s="124" t="s">
        <v>137</v>
      </c>
      <c r="M56" s="108" t="s">
        <v>77</v>
      </c>
      <c r="N56" s="132">
        <v>3</v>
      </c>
      <c r="O56" s="132">
        <v>2</v>
      </c>
      <c r="P56" s="132">
        <v>3</v>
      </c>
      <c r="Q56" s="133">
        <v>3</v>
      </c>
      <c r="R56" s="110">
        <f t="shared" si="5"/>
        <v>11</v>
      </c>
      <c r="S56" s="111" t="s">
        <v>77</v>
      </c>
      <c r="T56" s="118">
        <v>2</v>
      </c>
      <c r="U56" s="118">
        <v>2</v>
      </c>
      <c r="V56" s="118">
        <v>3</v>
      </c>
      <c r="W56" s="119">
        <v>3</v>
      </c>
      <c r="X56" s="110">
        <f t="shared" si="0"/>
        <v>10</v>
      </c>
      <c r="Y56" s="111" t="s">
        <v>77</v>
      </c>
      <c r="Z56" s="118">
        <v>2</v>
      </c>
      <c r="AA56" s="118">
        <v>3</v>
      </c>
      <c r="AB56" s="118">
        <v>4</v>
      </c>
      <c r="AC56" s="119">
        <v>3</v>
      </c>
      <c r="AD56" s="110">
        <f t="shared" si="1"/>
        <v>12</v>
      </c>
      <c r="AE56" s="114">
        <f t="shared" si="6"/>
        <v>33</v>
      </c>
      <c r="AF56" s="115">
        <f t="shared" si="2"/>
        <v>11</v>
      </c>
    </row>
    <row r="57" spans="2:58" ht="31.5" x14ac:dyDescent="0.25">
      <c r="B57" s="96" t="s">
        <v>64</v>
      </c>
      <c r="C57" s="14" t="s">
        <v>57</v>
      </c>
      <c r="G57" s="5" t="s">
        <v>124</v>
      </c>
      <c r="H57" s="59"/>
      <c r="I57" s="158" t="s">
        <v>133</v>
      </c>
      <c r="J57" s="158" t="s">
        <v>138</v>
      </c>
      <c r="K57" s="14"/>
      <c r="L57" s="124"/>
      <c r="M57" s="108" t="s">
        <v>77</v>
      </c>
      <c r="N57" s="132">
        <v>3</v>
      </c>
      <c r="O57" s="132">
        <v>3</v>
      </c>
      <c r="P57" s="132">
        <v>3</v>
      </c>
      <c r="Q57" s="133">
        <v>2</v>
      </c>
      <c r="R57" s="110">
        <f t="shared" si="5"/>
        <v>11</v>
      </c>
      <c r="S57" s="111" t="s">
        <v>77</v>
      </c>
      <c r="T57" s="118">
        <v>2</v>
      </c>
      <c r="U57" s="118">
        <v>3</v>
      </c>
      <c r="V57" s="118">
        <v>4</v>
      </c>
      <c r="W57" s="119">
        <v>2</v>
      </c>
      <c r="X57" s="110">
        <f t="shared" si="0"/>
        <v>11</v>
      </c>
      <c r="Y57" s="111" t="s">
        <v>77</v>
      </c>
      <c r="Z57" s="118">
        <v>3</v>
      </c>
      <c r="AA57" s="118">
        <v>3</v>
      </c>
      <c r="AB57" s="118">
        <v>3</v>
      </c>
      <c r="AC57" s="119">
        <v>3</v>
      </c>
      <c r="AD57" s="110">
        <f t="shared" si="1"/>
        <v>12</v>
      </c>
      <c r="AE57" s="114">
        <f t="shared" si="6"/>
        <v>34</v>
      </c>
      <c r="AF57" s="115">
        <f t="shared" si="2"/>
        <v>11.333333333333334</v>
      </c>
    </row>
    <row r="58" spans="2:58" ht="47.25" x14ac:dyDescent="0.25">
      <c r="B58" s="96" t="s">
        <v>65</v>
      </c>
      <c r="C58" s="14" t="s">
        <v>57</v>
      </c>
      <c r="G58" s="5" t="s">
        <v>124</v>
      </c>
      <c r="H58" s="59"/>
      <c r="I58" s="158" t="s">
        <v>139</v>
      </c>
      <c r="J58" s="158" t="s">
        <v>140</v>
      </c>
      <c r="K58" s="14"/>
      <c r="L58" s="124"/>
      <c r="M58" s="108" t="s">
        <v>77</v>
      </c>
      <c r="N58" s="132">
        <v>3</v>
      </c>
      <c r="O58" s="132">
        <v>4</v>
      </c>
      <c r="P58" s="132">
        <v>4</v>
      </c>
      <c r="Q58" s="133">
        <v>4</v>
      </c>
      <c r="R58" s="110">
        <f t="shared" si="5"/>
        <v>15</v>
      </c>
      <c r="S58" s="111" t="s">
        <v>77</v>
      </c>
      <c r="T58" s="118">
        <v>3</v>
      </c>
      <c r="U58" s="118">
        <v>4</v>
      </c>
      <c r="V58" s="118">
        <v>4</v>
      </c>
      <c r="W58" s="119">
        <v>3</v>
      </c>
      <c r="X58" s="110">
        <f t="shared" si="0"/>
        <v>14</v>
      </c>
      <c r="Y58" s="111" t="s">
        <v>77</v>
      </c>
      <c r="Z58" s="118">
        <v>4</v>
      </c>
      <c r="AA58" s="118">
        <v>3</v>
      </c>
      <c r="AB58" s="118">
        <v>4</v>
      </c>
      <c r="AC58" s="119">
        <v>3</v>
      </c>
      <c r="AD58" s="110">
        <f t="shared" si="1"/>
        <v>14</v>
      </c>
      <c r="AE58" s="114">
        <f t="shared" si="6"/>
        <v>43</v>
      </c>
      <c r="AF58" s="115">
        <f t="shared" si="2"/>
        <v>14.333333333333334</v>
      </c>
    </row>
    <row r="59" spans="2:58" ht="47.25" x14ac:dyDescent="0.25">
      <c r="B59" s="96" t="s">
        <v>66</v>
      </c>
      <c r="C59" s="14" t="s">
        <v>57</v>
      </c>
      <c r="G59" s="5" t="s">
        <v>124</v>
      </c>
      <c r="H59" s="59"/>
      <c r="I59" s="158" t="s">
        <v>133</v>
      </c>
      <c r="J59" s="158" t="s">
        <v>141</v>
      </c>
      <c r="K59" s="14"/>
      <c r="L59" s="124"/>
      <c r="M59" s="108" t="s">
        <v>77</v>
      </c>
      <c r="N59" s="132">
        <v>3</v>
      </c>
      <c r="O59" s="132">
        <v>3</v>
      </c>
      <c r="P59" s="132">
        <v>3</v>
      </c>
      <c r="Q59" s="133">
        <v>4</v>
      </c>
      <c r="R59" s="110">
        <f t="shared" si="5"/>
        <v>13</v>
      </c>
      <c r="S59" s="111" t="s">
        <v>77</v>
      </c>
      <c r="T59" s="118">
        <v>3</v>
      </c>
      <c r="U59" s="118">
        <v>2</v>
      </c>
      <c r="V59" s="118">
        <v>4</v>
      </c>
      <c r="W59" s="119">
        <v>3</v>
      </c>
      <c r="X59" s="110">
        <f t="shared" si="0"/>
        <v>12</v>
      </c>
      <c r="Y59" s="111" t="s">
        <v>77</v>
      </c>
      <c r="Z59" s="118">
        <v>3</v>
      </c>
      <c r="AA59" s="118">
        <v>3</v>
      </c>
      <c r="AB59" s="118">
        <v>4</v>
      </c>
      <c r="AC59" s="119">
        <v>3</v>
      </c>
      <c r="AD59" s="110">
        <f t="shared" si="1"/>
        <v>13</v>
      </c>
      <c r="AE59" s="114">
        <f t="shared" si="6"/>
        <v>38</v>
      </c>
      <c r="AF59" s="115">
        <f t="shared" si="2"/>
        <v>12.666666666666666</v>
      </c>
    </row>
    <row r="60" spans="2:58" ht="47.25" x14ac:dyDescent="0.25">
      <c r="B60" s="96" t="s">
        <v>67</v>
      </c>
      <c r="C60" s="14" t="s">
        <v>57</v>
      </c>
      <c r="G60" s="5" t="s">
        <v>124</v>
      </c>
      <c r="H60" s="59"/>
      <c r="I60" s="158" t="s">
        <v>142</v>
      </c>
      <c r="J60" s="158" t="s">
        <v>143</v>
      </c>
      <c r="K60" s="14"/>
      <c r="L60" s="124"/>
      <c r="M60" s="108" t="s">
        <v>77</v>
      </c>
      <c r="N60" s="132">
        <v>2</v>
      </c>
      <c r="O60" s="132">
        <v>3</v>
      </c>
      <c r="P60" s="132">
        <v>3</v>
      </c>
      <c r="Q60" s="133">
        <v>1</v>
      </c>
      <c r="R60" s="110">
        <f t="shared" si="5"/>
        <v>9</v>
      </c>
      <c r="S60" s="111" t="s">
        <v>77</v>
      </c>
      <c r="T60" s="118">
        <v>2</v>
      </c>
      <c r="U60" s="118">
        <v>2</v>
      </c>
      <c r="V60" s="118">
        <v>3</v>
      </c>
      <c r="W60" s="119">
        <v>2</v>
      </c>
      <c r="X60" s="110">
        <f t="shared" si="0"/>
        <v>9</v>
      </c>
      <c r="Y60" s="111" t="s">
        <v>77</v>
      </c>
      <c r="Z60" s="118">
        <v>3</v>
      </c>
      <c r="AA60" s="118">
        <v>3</v>
      </c>
      <c r="AB60" s="118">
        <v>4</v>
      </c>
      <c r="AC60" s="119">
        <v>3</v>
      </c>
      <c r="AD60" s="110">
        <f t="shared" si="1"/>
        <v>13</v>
      </c>
      <c r="AE60" s="114">
        <f t="shared" si="6"/>
        <v>31</v>
      </c>
      <c r="AF60" s="115">
        <f t="shared" si="2"/>
        <v>10.333333333333334</v>
      </c>
    </row>
    <row r="61" spans="2:58" ht="22.5" x14ac:dyDescent="0.25">
      <c r="B61" s="96" t="s">
        <v>68</v>
      </c>
      <c r="C61" s="14" t="s">
        <v>57</v>
      </c>
      <c r="G61" s="5" t="s">
        <v>124</v>
      </c>
      <c r="H61" s="59"/>
      <c r="I61" s="158"/>
      <c r="J61" s="158"/>
      <c r="K61" s="14"/>
      <c r="L61" s="124" t="s">
        <v>144</v>
      </c>
      <c r="M61" s="108" t="s">
        <v>77</v>
      </c>
      <c r="N61" s="132">
        <v>2</v>
      </c>
      <c r="O61" s="132">
        <v>3</v>
      </c>
      <c r="P61" s="132">
        <v>3</v>
      </c>
      <c r="Q61" s="133">
        <v>2</v>
      </c>
      <c r="R61" s="110">
        <f t="shared" si="5"/>
        <v>10</v>
      </c>
      <c r="S61" s="111" t="s">
        <v>77</v>
      </c>
      <c r="T61" s="118">
        <v>1</v>
      </c>
      <c r="U61" s="118">
        <v>3</v>
      </c>
      <c r="V61" s="118">
        <v>3</v>
      </c>
      <c r="W61" s="119">
        <v>2</v>
      </c>
      <c r="X61" s="110">
        <f t="shared" si="0"/>
        <v>9</v>
      </c>
      <c r="Y61" s="111" t="s">
        <v>77</v>
      </c>
      <c r="Z61" s="118">
        <v>3</v>
      </c>
      <c r="AA61" s="118">
        <v>3</v>
      </c>
      <c r="AB61" s="118">
        <v>3</v>
      </c>
      <c r="AC61" s="119">
        <v>3</v>
      </c>
      <c r="AD61" s="110">
        <f t="shared" si="1"/>
        <v>12</v>
      </c>
      <c r="AE61" s="114">
        <f t="shared" si="6"/>
        <v>31</v>
      </c>
      <c r="AF61" s="115">
        <f t="shared" si="2"/>
        <v>10.333333333333334</v>
      </c>
    </row>
    <row r="62" spans="2:58" ht="31.5" x14ac:dyDescent="0.25">
      <c r="B62" s="96" t="s">
        <v>69</v>
      </c>
      <c r="C62" s="14" t="s">
        <v>57</v>
      </c>
      <c r="G62" s="5" t="s">
        <v>124</v>
      </c>
      <c r="H62" s="59"/>
      <c r="I62" s="158" t="s">
        <v>145</v>
      </c>
      <c r="J62" s="15" t="s">
        <v>146</v>
      </c>
      <c r="K62" s="14"/>
      <c r="L62" s="124"/>
      <c r="M62" s="108" t="s">
        <v>77</v>
      </c>
      <c r="N62" s="132">
        <v>3</v>
      </c>
      <c r="O62" s="132">
        <v>4</v>
      </c>
      <c r="P62" s="132">
        <v>4</v>
      </c>
      <c r="Q62" s="133">
        <v>3</v>
      </c>
      <c r="R62" s="110">
        <f t="shared" si="5"/>
        <v>14</v>
      </c>
      <c r="S62" s="111" t="s">
        <v>77</v>
      </c>
      <c r="T62" s="109">
        <v>4</v>
      </c>
      <c r="U62" s="109">
        <v>3</v>
      </c>
      <c r="V62" s="112">
        <v>4</v>
      </c>
      <c r="W62" s="113">
        <v>4</v>
      </c>
      <c r="X62" s="110">
        <f t="shared" si="0"/>
        <v>15</v>
      </c>
      <c r="Y62" s="111" t="s">
        <v>77</v>
      </c>
      <c r="Z62" s="118">
        <v>3</v>
      </c>
      <c r="AA62" s="118">
        <v>3</v>
      </c>
      <c r="AB62" s="118">
        <v>4</v>
      </c>
      <c r="AC62" s="119">
        <v>4</v>
      </c>
      <c r="AD62" s="110">
        <f t="shared" si="1"/>
        <v>14</v>
      </c>
      <c r="AE62" s="114">
        <f t="shared" si="6"/>
        <v>43</v>
      </c>
      <c r="AF62" s="115">
        <f t="shared" si="2"/>
        <v>14.333333333333334</v>
      </c>
    </row>
    <row r="63" spans="2:58" ht="31.5" x14ac:dyDescent="0.25">
      <c r="B63" s="96" t="s">
        <v>70</v>
      </c>
      <c r="C63" s="14" t="s">
        <v>57</v>
      </c>
      <c r="G63" s="5" t="s">
        <v>124</v>
      </c>
      <c r="H63" s="59"/>
      <c r="I63" s="158"/>
      <c r="J63" s="158" t="s">
        <v>147</v>
      </c>
      <c r="K63" s="14"/>
      <c r="L63" s="124" t="s">
        <v>148</v>
      </c>
      <c r="M63" s="108" t="s">
        <v>77</v>
      </c>
      <c r="N63" s="132">
        <v>2</v>
      </c>
      <c r="O63" s="132">
        <v>2</v>
      </c>
      <c r="P63" s="132">
        <v>3</v>
      </c>
      <c r="Q63" s="133">
        <v>3</v>
      </c>
      <c r="R63" s="110">
        <f t="shared" si="5"/>
        <v>10</v>
      </c>
      <c r="S63" s="111" t="s">
        <v>77</v>
      </c>
      <c r="T63" s="118">
        <v>3</v>
      </c>
      <c r="U63" s="118">
        <v>2</v>
      </c>
      <c r="V63" s="118">
        <v>4</v>
      </c>
      <c r="W63" s="119">
        <v>3</v>
      </c>
      <c r="X63" s="110">
        <f t="shared" si="0"/>
        <v>12</v>
      </c>
      <c r="Y63" s="111" t="s">
        <v>77</v>
      </c>
      <c r="Z63" s="118">
        <v>3</v>
      </c>
      <c r="AA63" s="118">
        <v>3</v>
      </c>
      <c r="AB63" s="118">
        <v>3</v>
      </c>
      <c r="AC63" s="119">
        <v>3</v>
      </c>
      <c r="AD63" s="110">
        <f t="shared" si="1"/>
        <v>12</v>
      </c>
      <c r="AE63" s="114">
        <f t="shared" si="6"/>
        <v>34</v>
      </c>
      <c r="AF63" s="115">
        <f t="shared" si="2"/>
        <v>11.333333333333334</v>
      </c>
    </row>
    <row r="64" spans="2:58" ht="31.5" x14ac:dyDescent="0.25">
      <c r="B64" s="96" t="s">
        <v>71</v>
      </c>
      <c r="C64" s="14" t="s">
        <v>57</v>
      </c>
      <c r="G64" s="5" t="s">
        <v>124</v>
      </c>
      <c r="H64" s="59"/>
      <c r="I64" s="158" t="s">
        <v>149</v>
      </c>
      <c r="J64" s="158" t="s">
        <v>150</v>
      </c>
      <c r="K64" s="14"/>
      <c r="L64" s="124"/>
      <c r="M64" s="108" t="s">
        <v>77</v>
      </c>
      <c r="N64" s="132">
        <v>4</v>
      </c>
      <c r="O64" s="132">
        <v>3</v>
      </c>
      <c r="P64" s="132">
        <v>5</v>
      </c>
      <c r="Q64" s="133">
        <v>4</v>
      </c>
      <c r="R64" s="110">
        <f t="shared" si="5"/>
        <v>16</v>
      </c>
      <c r="S64" s="111" t="s">
        <v>77</v>
      </c>
      <c r="T64" s="118">
        <v>4</v>
      </c>
      <c r="U64" s="118">
        <v>3</v>
      </c>
      <c r="V64" s="118">
        <v>5</v>
      </c>
      <c r="W64" s="119">
        <v>4</v>
      </c>
      <c r="X64" s="110">
        <f t="shared" si="0"/>
        <v>16</v>
      </c>
      <c r="Y64" s="111" t="s">
        <v>77</v>
      </c>
      <c r="Z64" s="118">
        <v>3</v>
      </c>
      <c r="AA64" s="118">
        <v>3</v>
      </c>
      <c r="AB64" s="118">
        <v>5</v>
      </c>
      <c r="AC64" s="119">
        <v>4</v>
      </c>
      <c r="AD64" s="110">
        <f t="shared" si="1"/>
        <v>15</v>
      </c>
      <c r="AE64" s="114">
        <f t="shared" si="6"/>
        <v>47</v>
      </c>
      <c r="AF64" s="115">
        <f t="shared" si="2"/>
        <v>15.666666666666666</v>
      </c>
    </row>
    <row r="65" spans="2:32" ht="20.25" thickBot="1" x14ac:dyDescent="0.3">
      <c r="B65" s="153"/>
      <c r="C65" s="14" t="s">
        <v>57</v>
      </c>
      <c r="G65" s="5" t="s">
        <v>124</v>
      </c>
      <c r="H65" s="158"/>
      <c r="I65" s="158"/>
      <c r="J65" s="158"/>
      <c r="K65" s="14"/>
      <c r="L65" s="124"/>
      <c r="M65" s="6"/>
      <c r="N65" s="6"/>
      <c r="O65" s="6"/>
      <c r="P65" s="6"/>
      <c r="Q65" s="6"/>
      <c r="R65" s="110">
        <f t="shared" si="3"/>
        <v>0</v>
      </c>
      <c r="S65" s="6"/>
      <c r="T65" s="6"/>
      <c r="U65" s="6"/>
      <c r="V65" s="6"/>
      <c r="W65" s="6"/>
      <c r="X65" s="110">
        <f t="shared" si="0"/>
        <v>0</v>
      </c>
      <c r="Y65" s="6"/>
      <c r="Z65" s="6"/>
      <c r="AA65" s="6"/>
      <c r="AB65" s="6"/>
      <c r="AC65" s="6"/>
      <c r="AD65" s="110">
        <f t="shared" si="1"/>
        <v>0</v>
      </c>
      <c r="AE65" s="6"/>
      <c r="AF65" s="115">
        <f t="shared" si="2"/>
        <v>0</v>
      </c>
    </row>
    <row r="66" spans="2:32" x14ac:dyDescent="0.25">
      <c r="G66" s="152"/>
    </row>
    <row r="1048506" spans="13:13" x14ac:dyDescent="0.25">
      <c r="M1048506" s="13"/>
    </row>
  </sheetData>
  <autoFilter ref="B5:G65" xr:uid="{00000000-0001-0000-0000-000000000000}"/>
  <sortState xmlns:xlrd2="http://schemas.microsoft.com/office/spreadsheetml/2017/richdata2" ref="B6:BF50">
    <sortCondition ref="B6:B50"/>
  </sortState>
  <mergeCells count="3">
    <mergeCell ref="M1:R1"/>
    <mergeCell ref="S1:X1"/>
    <mergeCell ref="Y1:AD1"/>
  </mergeCells>
  <phoneticPr fontId="28" type="noConversion"/>
  <hyperlinks>
    <hyperlink ref="AV1" r:id="rId1" display="shahidoul@gmail.com" xr:uid="{00000000-0004-0000-0000-000000000000}"/>
  </hyperlinks>
  <pageMargins left="0.25" right="0.25" top="0.75" bottom="0.75" header="0.3" footer="0.3"/>
  <pageSetup paperSize="8" scale="10" orientation="landscape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54BDA1A-AEC1-4C60-AC2B-3318EB061C31}">
          <x14:formula1>
            <xm:f>Feuil2!$A$1:$A$2</xm:f>
          </x14:formula1>
          <xm:sqref>S6:S50 M6:M50 Y6:Y50</xm:sqref>
        </x14:dataValidation>
        <x14:dataValidation type="list" allowBlank="1" showInputMessage="1" showErrorMessage="1" xr:uid="{9A564D95-4396-43D0-A1DC-88C76A467BDA}">
          <x14:formula1>
            <xm:f>Feuil2!$C$1:$C$6</xm:f>
          </x14:formula1>
          <xm:sqref>Z6:AC50 N6:Q50 T6:W50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4C54-A4B8-4302-BB8C-1E872EFE2ACA}">
  <dimension ref="A1:G32"/>
  <sheetViews>
    <sheetView workbookViewId="0">
      <selection activeCell="C7" sqref="C7"/>
    </sheetView>
  </sheetViews>
  <sheetFormatPr baseColWidth="10" defaultColWidth="11" defaultRowHeight="15.75" x14ac:dyDescent="0.25"/>
  <sheetData>
    <row r="1" spans="1:7" x14ac:dyDescent="0.25">
      <c r="A1" s="20" t="s">
        <v>77</v>
      </c>
      <c r="B1" s="20"/>
      <c r="C1" s="20">
        <v>0</v>
      </c>
      <c r="D1" s="20"/>
      <c r="E1" s="20"/>
      <c r="F1" s="20"/>
      <c r="G1" s="20"/>
    </row>
    <row r="2" spans="1:7" x14ac:dyDescent="0.25">
      <c r="A2" s="20" t="s">
        <v>123</v>
      </c>
      <c r="B2" s="20"/>
      <c r="C2" s="20">
        <v>1</v>
      </c>
      <c r="D2" s="20"/>
      <c r="E2" s="20"/>
      <c r="F2" s="20"/>
      <c r="G2" s="20"/>
    </row>
    <row r="3" spans="1:7" x14ac:dyDescent="0.25">
      <c r="A3" s="20"/>
      <c r="B3" s="20"/>
      <c r="C3" s="20">
        <v>2</v>
      </c>
      <c r="D3" s="20"/>
      <c r="E3" s="20"/>
      <c r="F3" s="20"/>
      <c r="G3" s="20"/>
    </row>
    <row r="4" spans="1:7" x14ac:dyDescent="0.25">
      <c r="A4" s="20"/>
      <c r="B4" s="20"/>
      <c r="C4" s="20">
        <v>3</v>
      </c>
      <c r="D4" s="20"/>
      <c r="E4" s="20"/>
      <c r="F4" s="20"/>
      <c r="G4" s="20"/>
    </row>
    <row r="5" spans="1:7" x14ac:dyDescent="0.25">
      <c r="A5" s="20"/>
      <c r="B5" s="20"/>
      <c r="C5" s="20">
        <v>4</v>
      </c>
      <c r="D5" s="20"/>
      <c r="E5" s="20"/>
      <c r="F5" s="20"/>
      <c r="G5" s="20"/>
    </row>
    <row r="6" spans="1:7" x14ac:dyDescent="0.25">
      <c r="A6" s="20"/>
      <c r="B6" s="20"/>
      <c r="C6" s="20">
        <v>5</v>
      </c>
      <c r="D6" s="20"/>
      <c r="E6" s="20"/>
      <c r="F6" s="20"/>
      <c r="G6" s="20"/>
    </row>
    <row r="7" spans="1:7" x14ac:dyDescent="0.25">
      <c r="A7" s="20"/>
      <c r="B7" s="20"/>
      <c r="C7" s="20"/>
      <c r="D7" s="20"/>
      <c r="E7" s="20"/>
      <c r="F7" s="20"/>
      <c r="G7" s="20"/>
    </row>
    <row r="8" spans="1:7" x14ac:dyDescent="0.25">
      <c r="A8" s="20"/>
      <c r="B8" s="20"/>
      <c r="C8" s="20"/>
      <c r="D8" s="20"/>
      <c r="E8" s="20"/>
      <c r="F8" s="20"/>
      <c r="G8" s="20"/>
    </row>
    <row r="9" spans="1:7" x14ac:dyDescent="0.25">
      <c r="A9" s="20"/>
      <c r="B9" s="20"/>
      <c r="C9" s="20"/>
      <c r="D9" s="20"/>
      <c r="E9" s="20"/>
      <c r="F9" s="20"/>
      <c r="G9" s="20"/>
    </row>
    <row r="10" spans="1:7" x14ac:dyDescent="0.25">
      <c r="A10" s="20"/>
      <c r="B10" s="20"/>
      <c r="C10" s="20"/>
      <c r="D10" s="20"/>
      <c r="E10" s="20"/>
      <c r="F10" s="20"/>
      <c r="G10" s="20"/>
    </row>
    <row r="11" spans="1:7" x14ac:dyDescent="0.25">
      <c r="A11" s="20"/>
      <c r="B11" s="20"/>
      <c r="C11" s="20"/>
      <c r="D11" s="20"/>
      <c r="E11" s="20"/>
      <c r="F11" s="20"/>
      <c r="G11" s="20"/>
    </row>
    <row r="12" spans="1:7" x14ac:dyDescent="0.25">
      <c r="A12" s="20"/>
      <c r="B12" s="20"/>
      <c r="C12" s="20"/>
      <c r="D12" s="20"/>
      <c r="E12" s="20"/>
      <c r="F12" s="20"/>
      <c r="G12" s="20"/>
    </row>
    <row r="13" spans="1:7" x14ac:dyDescent="0.25">
      <c r="A13" s="20"/>
      <c r="B13" s="20"/>
      <c r="C13" s="20"/>
      <c r="D13" s="20"/>
      <c r="E13" s="20"/>
      <c r="F13" s="20"/>
      <c r="G13" s="20"/>
    </row>
    <row r="14" spans="1:7" x14ac:dyDescent="0.25">
      <c r="A14" s="20"/>
      <c r="B14" s="20"/>
      <c r="C14" s="20"/>
      <c r="D14" s="20"/>
      <c r="E14" s="20"/>
      <c r="F14" s="20"/>
      <c r="G14" s="20"/>
    </row>
    <row r="15" spans="1:7" x14ac:dyDescent="0.25">
      <c r="A15" s="20"/>
      <c r="B15" s="20"/>
      <c r="C15" s="20"/>
      <c r="D15" s="20"/>
      <c r="E15" s="20"/>
      <c r="F15" s="20"/>
      <c r="G15" s="20"/>
    </row>
    <row r="16" spans="1:7" x14ac:dyDescent="0.25">
      <c r="A16" s="20"/>
      <c r="B16" s="20"/>
      <c r="C16" s="20"/>
      <c r="D16" s="20"/>
      <c r="E16" s="20"/>
      <c r="F16" s="20"/>
      <c r="G16" s="20"/>
    </row>
    <row r="17" spans="1:7" x14ac:dyDescent="0.25">
      <c r="A17" s="20"/>
      <c r="B17" s="20"/>
      <c r="C17" s="20"/>
      <c r="D17" s="20"/>
      <c r="E17" s="20"/>
      <c r="F17" s="20"/>
      <c r="G17" s="20"/>
    </row>
    <row r="18" spans="1:7" x14ac:dyDescent="0.25">
      <c r="A18" s="20"/>
      <c r="B18" s="20"/>
      <c r="C18" s="20"/>
      <c r="D18" s="20"/>
      <c r="E18" s="20"/>
      <c r="F18" s="20"/>
      <c r="G18" s="20"/>
    </row>
    <row r="19" spans="1:7" x14ac:dyDescent="0.25">
      <c r="A19" s="20"/>
      <c r="B19" s="20"/>
      <c r="C19" s="20"/>
      <c r="D19" s="20"/>
      <c r="E19" s="20"/>
      <c r="F19" s="20"/>
      <c r="G19" s="20"/>
    </row>
    <row r="20" spans="1:7" x14ac:dyDescent="0.25">
      <c r="A20" s="20"/>
      <c r="B20" s="20"/>
      <c r="C20" s="20"/>
      <c r="D20" s="20"/>
      <c r="E20" s="20"/>
      <c r="F20" s="20"/>
      <c r="G20" s="20"/>
    </row>
    <row r="21" spans="1:7" x14ac:dyDescent="0.25">
      <c r="A21" s="20"/>
      <c r="B21" s="20"/>
      <c r="C21" s="20"/>
      <c r="D21" s="20"/>
      <c r="E21" s="20"/>
      <c r="F21" s="20"/>
      <c r="G21" s="20"/>
    </row>
    <row r="22" spans="1:7" x14ac:dyDescent="0.25">
      <c r="A22" s="20"/>
      <c r="B22" s="20"/>
      <c r="C22" s="20"/>
      <c r="D22" s="20"/>
      <c r="E22" s="20"/>
      <c r="F22" s="20"/>
      <c r="G22" s="20"/>
    </row>
    <row r="23" spans="1:7" x14ac:dyDescent="0.25">
      <c r="A23" s="20"/>
      <c r="B23" s="20"/>
      <c r="C23" s="20"/>
      <c r="D23" s="20"/>
      <c r="E23" s="20"/>
      <c r="F23" s="20"/>
      <c r="G23" s="20"/>
    </row>
    <row r="24" spans="1:7" x14ac:dyDescent="0.25">
      <c r="A24" s="20"/>
      <c r="B24" s="20"/>
      <c r="C24" s="20"/>
      <c r="D24" s="20"/>
      <c r="E24" s="20"/>
      <c r="F24" s="20"/>
      <c r="G24" s="20"/>
    </row>
    <row r="25" spans="1:7" x14ac:dyDescent="0.25">
      <c r="A25" s="20"/>
      <c r="B25" s="20"/>
      <c r="C25" s="20"/>
      <c r="D25" s="20"/>
      <c r="E25" s="20"/>
      <c r="F25" s="20"/>
      <c r="G25" s="20"/>
    </row>
    <row r="26" spans="1:7" x14ac:dyDescent="0.25">
      <c r="A26" s="20"/>
      <c r="B26" s="20"/>
      <c r="C26" s="20"/>
      <c r="D26" s="20"/>
      <c r="E26" s="20"/>
      <c r="F26" s="20"/>
      <c r="G26" s="20"/>
    </row>
    <row r="27" spans="1:7" x14ac:dyDescent="0.25">
      <c r="A27" s="20"/>
      <c r="B27" s="20"/>
      <c r="C27" s="20"/>
      <c r="D27" s="20"/>
      <c r="E27" s="20"/>
      <c r="F27" s="20"/>
      <c r="G27" s="20"/>
    </row>
    <row r="28" spans="1:7" x14ac:dyDescent="0.25">
      <c r="A28" s="20"/>
      <c r="B28" s="20"/>
      <c r="C28" s="20"/>
      <c r="D28" s="20"/>
      <c r="E28" s="20"/>
      <c r="F28" s="20"/>
      <c r="G28" s="20"/>
    </row>
    <row r="29" spans="1:7" x14ac:dyDescent="0.25">
      <c r="A29" s="20"/>
      <c r="B29" s="20"/>
      <c r="C29" s="20"/>
      <c r="D29" s="20"/>
      <c r="E29" s="20"/>
      <c r="F29" s="20"/>
      <c r="G29" s="20"/>
    </row>
    <row r="30" spans="1:7" x14ac:dyDescent="0.25">
      <c r="A30" s="20"/>
      <c r="B30" s="20"/>
      <c r="C30" s="20"/>
      <c r="D30" s="20"/>
      <c r="E30" s="20"/>
      <c r="F30" s="20"/>
      <c r="G30" s="20"/>
    </row>
    <row r="31" spans="1:7" x14ac:dyDescent="0.25">
      <c r="A31" s="20"/>
      <c r="B31" s="20"/>
      <c r="C31" s="20"/>
      <c r="D31" s="20"/>
      <c r="E31" s="20"/>
      <c r="F31" s="20"/>
      <c r="G31" s="20"/>
    </row>
    <row r="32" spans="1:7" x14ac:dyDescent="0.25">
      <c r="A32" s="20"/>
      <c r="B32" s="20"/>
      <c r="C32" s="20"/>
      <c r="D32" s="20"/>
      <c r="E32" s="20"/>
      <c r="F32" s="20"/>
      <c r="G32" s="20"/>
    </row>
  </sheetData>
  <sortState xmlns:xlrd2="http://schemas.microsoft.com/office/spreadsheetml/2017/richdata2" ref="A1:G32">
    <sortCondition descending="1" ref="D1:D3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0f7178-4d1b-4463-8183-b81a58cfaa48">
      <Terms xmlns="http://schemas.microsoft.com/office/infopath/2007/PartnerControls"/>
    </lcf76f155ced4ddcb4097134ff3c332f>
    <TaxCatchAll xmlns="02fbddcc-28ef-4431-821e-92640d563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E9710C9243374AA9ABCDE016EE51A4" ma:contentTypeVersion="19" ma:contentTypeDescription="Crée un document." ma:contentTypeScope="" ma:versionID="6dc8df79389d9338206fd4ee3214a5ab">
  <xsd:schema xmlns:xsd="http://www.w3.org/2001/XMLSchema" xmlns:xs="http://www.w3.org/2001/XMLSchema" xmlns:p="http://schemas.microsoft.com/office/2006/metadata/properties" xmlns:ns2="320f7178-4d1b-4463-8183-b81a58cfaa48" xmlns:ns3="02fbddcc-28ef-4431-821e-92640d563a71" targetNamespace="http://schemas.microsoft.com/office/2006/metadata/properties" ma:root="true" ma:fieldsID="5d73cd7b964fec4394c3109dc69739c1" ns2:_="" ns3:_="">
    <xsd:import namespace="320f7178-4d1b-4463-8183-b81a58cfaa48"/>
    <xsd:import namespace="02fbddcc-28ef-4431-821e-92640d563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0f7178-4d1b-4463-8183-b81a58cfaa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1ad81113-4336-45eb-be35-0b1a5203ee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fbddcc-28ef-4431-821e-92640d563a71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3f817c2-5ca8-45bc-9f2f-1392b5d5b992}" ma:internalName="TaxCatchAll" ma:showField="CatchAllData" ma:web="02fbddcc-28ef-4431-821e-92640d563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FDD298-37B0-4C97-AFCF-A8170A423D68}">
  <ds:schemaRefs>
    <ds:schemaRef ds:uri="http://schemas.microsoft.com/office/2006/metadata/properties"/>
    <ds:schemaRef ds:uri="http://schemas.microsoft.com/office/infopath/2007/PartnerControls"/>
    <ds:schemaRef ds:uri="320f7178-4d1b-4463-8183-b81a58cfaa48"/>
    <ds:schemaRef ds:uri="02fbddcc-28ef-4431-821e-92640d563a71"/>
  </ds:schemaRefs>
</ds:datastoreItem>
</file>

<file path=customXml/itemProps2.xml><?xml version="1.0" encoding="utf-8"?>
<ds:datastoreItem xmlns:ds="http://schemas.openxmlformats.org/officeDocument/2006/customXml" ds:itemID="{0E3690EF-D83C-4FDD-9BC8-F2CF071C84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E8AF61-D8B6-4F9D-A8A9-3423DC9698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0f7178-4d1b-4463-8183-b81a58cfaa48"/>
    <ds:schemaRef ds:uri="02fbddcc-28ef-4431-821e-92640d563a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Guy Bories</dc:creator>
  <cp:keywords/>
  <dc:description/>
  <cp:lastModifiedBy>Eric Combescot</cp:lastModifiedBy>
  <cp:revision/>
  <dcterms:created xsi:type="dcterms:W3CDTF">2011-11-07T13:25:58Z</dcterms:created>
  <dcterms:modified xsi:type="dcterms:W3CDTF">2025-08-29T09:36:06Z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0x01010024E9710C9243374AA9ABCDE016EE51A4</vt:lpwstr>
  </property>
</Properties>
</file>